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50" tabRatio="470" firstSheet="1" activeTab="4"/>
  </bookViews>
  <sheets>
    <sheet name="master rev 0" sheetId="1" r:id="rId1"/>
    <sheet name="contoh pengisian" sheetId="2" r:id="rId2"/>
    <sheet name="master" sheetId="3" r:id="rId3"/>
    <sheet name="master rev 1" sheetId="4" r:id="rId4"/>
    <sheet name="master rev 2" sheetId="5" r:id="rId5"/>
  </sheets>
  <externalReferences>
    <externalReference r:id="rId6"/>
  </externalReferences>
  <definedNames>
    <definedName name="_xlnm.Print_Area" localSheetId="1">'contoh pengisian'!$A$1:$K$34</definedName>
    <definedName name="_xlnm.Print_Area" localSheetId="2">master!$A$1:$K$34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<sst xmlns="http://schemas.openxmlformats.org/spreadsheetml/2006/main" count="319" uniqueCount="104">
  <si>
    <t>FORMULIR</t>
  </si>
  <si>
    <t>EVALUASI KUESIONER</t>
  </si>
  <si>
    <t>LABORATORIUM PDAM TIRTA KERTA RAHARJA</t>
  </si>
  <si>
    <t>KABUPATEN TANGERANG</t>
  </si>
  <si>
    <t>F15/ Lab-TKR/ Rev.0/ 01022012</t>
  </si>
  <si>
    <t>Periode waktu :</t>
  </si>
  <si>
    <t>No</t>
  </si>
  <si>
    <t>Penilaian</t>
  </si>
  <si>
    <t xml:space="preserve"> Jumlah responden yang memberikan score</t>
  </si>
  <si>
    <t>Total Score</t>
  </si>
  <si>
    <t>Rata-Rata</t>
  </si>
  <si>
    <t>Ketepatan Waktu Pelayanan</t>
  </si>
  <si>
    <t>Keramahan Petugas Penerima Sampel</t>
  </si>
  <si>
    <t>Informasi Hasil Pengujian</t>
  </si>
  <si>
    <t xml:space="preserve">Kualitas pelaporan </t>
  </si>
  <si>
    <t>(informasi yang diperlukan memadai)</t>
  </si>
  <si>
    <t>Respon Laboratorium</t>
  </si>
  <si>
    <t xml:space="preserve">Keterangan : </t>
  </si>
  <si>
    <t>: tidak puas</t>
  </si>
  <si>
    <t>: cukup</t>
  </si>
  <si>
    <t>: memuaskan</t>
  </si>
  <si>
    <t>: sangat memuaskan</t>
  </si>
  <si>
    <t>Kriteria:</t>
  </si>
  <si>
    <t>2,0 – 2,5 = Pelayanan perlu ditingkat terkait dengan penilaian tersebut, dan segera lakukan tindakan perbaikan</t>
  </si>
  <si>
    <t>&gt;3  =  Pelayanan laboratorium memuaskan</t>
  </si>
  <si>
    <t xml:space="preserve">Saran Tindak Lanjut :
</t>
  </si>
  <si>
    <t>Tangerang, .....................</t>
  </si>
  <si>
    <t>Mengetahui</t>
  </si>
  <si>
    <t xml:space="preserve">Dibuat oleh </t>
  </si>
  <si>
    <t>Kepala Bagian Produksi</t>
  </si>
  <si>
    <t>Kasubag Laboratorium</t>
  </si>
  <si>
    <t>(                                       )</t>
  </si>
  <si>
    <t>Hari/ Tanggal :</t>
  </si>
  <si>
    <t>Total</t>
  </si>
  <si>
    <t>Tanggal :</t>
  </si>
  <si>
    <t xml:space="preserve">Disiapkan oleh:        </t>
  </si>
  <si>
    <t>Diketahui Oleh:</t>
  </si>
  <si>
    <t>Tangerang,10 Maret 2014</t>
  </si>
  <si>
    <t>SUGENG PRAKOSA</t>
  </si>
  <si>
    <t>ELLISA SULIATI</t>
  </si>
  <si>
    <t>Okt</t>
  </si>
  <si>
    <t>Nov</t>
  </si>
  <si>
    <t>Des</t>
  </si>
  <si>
    <t>Jan</t>
  </si>
  <si>
    <t>Feb</t>
  </si>
  <si>
    <t xml:space="preserve">FORMULIR </t>
  </si>
  <si>
    <t>LABORATORIUM</t>
  </si>
  <si>
    <t xml:space="preserve"> PERUMDAM TIRTA KERTA RAHARJA</t>
  </si>
  <si>
    <t>F15/Lab-TKR/Rev.1/01102014</t>
  </si>
  <si>
    <t xml:space="preserve">KABUPATEN TANGERANG </t>
  </si>
  <si>
    <t xml:space="preserve">1. Melakukan Tabulasi Atas Hasil Kuesioner Periode : </t>
  </si>
  <si>
    <t>a. Data Kinerja Pelayanan Laboratorium</t>
  </si>
  <si>
    <t>Responden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</si>
  <si>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</si>
  <si>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</si>
  <si>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</si>
  <si>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</si>
  <si>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</si>
  <si>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</si>
  <si>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</si>
  <si>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</si>
  <si>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</si>
  <si>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</si>
  <si>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</si>
  <si>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</si>
  <si>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</si>
  <si>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</si>
  <si>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total</t>
  </si>
  <si>
    <t>dst</t>
  </si>
  <si>
    <t>jumlah</t>
  </si>
  <si>
    <t>rata2</t>
  </si>
  <si>
    <t>b. Data Kepentingan / Harapan Pelanggan</t>
  </si>
  <si>
    <t xml:space="preserve">2. Memetakan hasil pengolahan data menggunakan diagram analisis Kepentingan / Harapan </t>
  </si>
  <si>
    <t xml:space="preserve">    ( Importance ) dan Kinerja ( Performance )</t>
  </si>
  <si>
    <t xml:space="preserve">Variabel </t>
  </si>
  <si>
    <t>Label</t>
  </si>
  <si>
    <t>Rata - rata</t>
  </si>
  <si>
    <t>Kinerja</t>
  </si>
  <si>
    <t>Harapan</t>
  </si>
  <si>
    <t>T1</t>
  </si>
  <si>
    <t>T2</t>
  </si>
  <si>
    <t>T3</t>
  </si>
  <si>
    <t>T4</t>
  </si>
  <si>
    <t>E1</t>
  </si>
  <si>
    <t>E2</t>
  </si>
  <si>
    <t>R1</t>
  </si>
  <si>
    <t>R2</t>
  </si>
  <si>
    <t>R3</t>
  </si>
  <si>
    <t>R4</t>
  </si>
  <si>
    <t>A1</t>
  </si>
  <si>
    <t>A2</t>
  </si>
  <si>
    <t>A3</t>
  </si>
  <si>
    <t>A4</t>
  </si>
  <si>
    <t>EVALUASI BERDASARKAN ANALISIS KUADRAN :</t>
  </si>
  <si>
    <t>1. KUADRAN I : PUSATKAN PERHATIAN</t>
  </si>
  <si>
    <t>2. KUADRAN II : PERTAHANKAN PRESTASI</t>
  </si>
  <si>
    <t>3. KUADRAN III :  PRIORITAS RENDAH</t>
  </si>
  <si>
    <t>4. KUADRAN IV  :  BERLEBIHAN</t>
  </si>
  <si>
    <t xml:space="preserve">Tangerang,  </t>
  </si>
  <si>
    <t>Penanggungjawab Mutu</t>
  </si>
  <si>
    <t>Wk. Penanggungjawab Mutu</t>
  </si>
  <si>
    <t>(                                )</t>
  </si>
  <si>
    <t xml:space="preserve">   (                                    )                     </t>
  </si>
  <si>
    <t>F15/Lab-TKR/Rev.2/02112020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</si>
</sst>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0.0"/>
  </numFmts>
  <fonts count="30">
    <font>
      <sz val="10"/>
      <name val="Arial"/>
      <family val="2"/>
      <charset val="0"/>
    </font>
    <font>
      <b/>
      <sz val="11"/>
      <name val="Arial"/>
      <family val="2"/>
      <charset val="0"/>
    </font>
    <font>
      <b/>
      <sz val="10"/>
      <name val="Arial"/>
      <family val="2"/>
      <charset val="0"/>
    </font>
    <font>
      <sz val="9"/>
      <name val="Arial"/>
      <family val="2"/>
      <charset val="0"/>
    </font>
    <font>
      <sz val="11"/>
      <name val="Arial"/>
      <family val="2"/>
      <charset val="0"/>
    </font>
    <font>
      <b/>
      <sz val="8"/>
      <name val="Arial"/>
      <family val="2"/>
      <charset val="0"/>
    </font>
    <font>
      <b/>
      <sz val="12"/>
      <name val="Arial"/>
      <family val="2"/>
      <charset val="0"/>
    </font>
    <font>
      <sz val="12"/>
      <color indexed="8"/>
      <name val="Kinnari"/>
      <charset val="0"/>
    </font>
    <font>
      <sz val="10"/>
      <color indexed="8"/>
      <name val="Kinnari"/>
      <charset val="0"/>
    </font>
    <font>
      <b/>
      <sz val="9"/>
      <name val="Arial"/>
      <family val="2"/>
      <charset val="0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ill="0" applyBorder="0" applyAlignment="0" applyProtection="0"/>
    <xf numFmtId="177" fontId="10" fillId="0" borderId="0" applyFill="0" applyBorder="0" applyAlignment="0" applyProtection="0"/>
    <xf numFmtId="9" fontId="10" fillId="0" borderId="0" applyFill="0" applyBorder="0" applyAlignment="0" applyProtection="0"/>
    <xf numFmtId="178" fontId="10" fillId="0" borderId="0" applyFill="0" applyBorder="0" applyAlignment="0" applyProtection="0"/>
    <xf numFmtId="179" fontId="10" fillId="0" borderId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86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87" applyNumberFormat="0" applyFill="0" applyAlignment="0" applyProtection="0"/>
    <xf numFmtId="0" fontId="17" fillId="0" borderId="88" applyNumberFormat="0" applyFill="0" applyAlignment="0" applyProtection="0"/>
    <xf numFmtId="0" fontId="18" fillId="0" borderId="89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90" applyNumberFormat="0" applyAlignment="0" applyProtection="0"/>
    <xf numFmtId="0" fontId="20" fillId="6" borderId="91" applyNumberFormat="0" applyAlignment="0" applyProtection="0"/>
    <xf numFmtId="0" fontId="21" fillId="6" borderId="90" applyNumberFormat="0" applyAlignment="0" applyProtection="0"/>
    <xf numFmtId="0" fontId="22" fillId="7" borderId="92" applyNumberFormat="0" applyAlignment="0" applyProtection="0"/>
    <xf numFmtId="0" fontId="23" fillId="0" borderId="93" applyNumberFormat="0" applyFill="0" applyAlignment="0" applyProtection="0"/>
    <xf numFmtId="0" fontId="24" fillId="0" borderId="94" applyNumberFormat="0" applyFill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8" fillId="34" borderId="0" applyNumberFormat="0" applyBorder="0" applyAlignment="0" applyProtection="0"/>
  </cellStyleXfs>
  <cellXfs count="183">
    <xf numFmtId="0" fontId="0" fillId="0" borderId="0" xfId="0"/>
    <xf numFmtId="0" fontId="0" fillId="0" borderId="1" xfId="0" applyBorder="1"/>
    <xf numFmtId="0" fontId="0" fillId="0" borderId="2" xfId="0" applyFont="1" applyBorder="1"/>
    <xf numFmtId="0" fontId="0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Font="1" applyBorder="1"/>
    <xf numFmtId="0" fontId="0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Font="1" applyBorder="1"/>
    <xf numFmtId="0" fontId="0" fillId="0" borderId="8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0" xfId="0" applyFont="1" applyBorder="1"/>
    <xf numFmtId="0" fontId="0" fillId="0" borderId="5" xfId="0" applyBorder="1"/>
    <xf numFmtId="0" fontId="1" fillId="0" borderId="0" xfId="0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2" fontId="0" fillId="0" borderId="20" xfId="0" applyNumberFormat="1" applyFont="1" applyBorder="1" applyAlignment="1">
      <alignment horizontal="center"/>
    </xf>
    <xf numFmtId="2" fontId="0" fillId="0" borderId="21" xfId="0" applyNumberFormat="1" applyFont="1" applyBorder="1" applyAlignment="1">
      <alignment horizontal="center"/>
    </xf>
    <xf numFmtId="2" fontId="0" fillId="0" borderId="22" xfId="0" applyNumberFormat="1" applyFont="1" applyBorder="1" applyAlignment="1">
      <alignment horizontal="center"/>
    </xf>
    <xf numFmtId="2" fontId="0" fillId="0" borderId="23" xfId="0" applyNumberFormat="1" applyFont="1" applyBorder="1" applyAlignment="1">
      <alignment horizontal="center"/>
    </xf>
    <xf numFmtId="0" fontId="5" fillId="0" borderId="0" xfId="0" applyFont="1" applyBorder="1"/>
    <xf numFmtId="0" fontId="2" fillId="2" borderId="34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38" xfId="0" applyFont="1" applyBorder="1" applyAlignment="1">
      <alignment horizontal="center"/>
    </xf>
    <xf numFmtId="0" fontId="0" fillId="0" borderId="39" xfId="0" applyFont="1" applyBorder="1" applyAlignment="1">
      <alignment horizontal="center"/>
    </xf>
    <xf numFmtId="0" fontId="0" fillId="0" borderId="40" xfId="0" applyFont="1" applyBorder="1" applyAlignment="1">
      <alignment horizontal="center"/>
    </xf>
    <xf numFmtId="0" fontId="0" fillId="0" borderId="41" xfId="0" applyFont="1" applyBorder="1" applyAlignment="1">
      <alignment horizontal="center"/>
    </xf>
    <xf numFmtId="0" fontId="0" fillId="0" borderId="42" xfId="0" applyFont="1" applyBorder="1" applyAlignment="1">
      <alignment horizontal="center"/>
    </xf>
    <xf numFmtId="2" fontId="0" fillId="0" borderId="10" xfId="0" applyNumberFormat="1" applyFont="1" applyBorder="1" applyAlignment="1">
      <alignment horizontal="center"/>
    </xf>
    <xf numFmtId="2" fontId="0" fillId="0" borderId="11" xfId="0" applyNumberFormat="1" applyFont="1" applyBorder="1" applyAlignment="1">
      <alignment horizontal="center"/>
    </xf>
    <xf numFmtId="2" fontId="0" fillId="0" borderId="12" xfId="0" applyNumberFormat="1" applyFont="1" applyBorder="1" applyAlignment="1">
      <alignment horizontal="center"/>
    </xf>
    <xf numFmtId="2" fontId="0" fillId="0" borderId="42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2" fontId="0" fillId="0" borderId="7" xfId="0" applyNumberFormat="1" applyFont="1" applyBorder="1" applyAlignment="1">
      <alignment horizontal="center"/>
    </xf>
    <xf numFmtId="0" fontId="0" fillId="0" borderId="8" xfId="0" applyBorder="1"/>
    <xf numFmtId="0" fontId="4" fillId="0" borderId="5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/>
    </xf>
    <xf numFmtId="2" fontId="0" fillId="0" borderId="43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2" fontId="0" fillId="0" borderId="45" xfId="0" applyNumberFormat="1" applyFont="1" applyBorder="1" applyAlignment="1">
      <alignment horizontal="center" vertical="center"/>
    </xf>
    <xf numFmtId="0" fontId="0" fillId="0" borderId="44" xfId="0" applyFont="1" applyBorder="1"/>
    <xf numFmtId="0" fontId="0" fillId="0" borderId="46" xfId="0" applyFont="1" applyBorder="1" applyAlignment="1">
      <alignment horizontal="center"/>
    </xf>
    <xf numFmtId="2" fontId="0" fillId="0" borderId="46" xfId="0" applyNumberFormat="1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2" fontId="0" fillId="0" borderId="48" xfId="0" applyNumberFormat="1" applyFont="1" applyBorder="1" applyAlignment="1">
      <alignment horizontal="center" vertical="center"/>
    </xf>
    <xf numFmtId="0" fontId="0" fillId="0" borderId="47" xfId="0" applyFont="1" applyBorder="1"/>
    <xf numFmtId="0" fontId="0" fillId="0" borderId="46" xfId="0" applyFont="1" applyBorder="1"/>
    <xf numFmtId="0" fontId="0" fillId="0" borderId="48" xfId="0" applyFont="1" applyBorder="1"/>
    <xf numFmtId="2" fontId="0" fillId="0" borderId="46" xfId="0" applyNumberFormat="1" applyFont="1" applyBorder="1"/>
    <xf numFmtId="2" fontId="0" fillId="0" borderId="48" xfId="0" applyNumberFormat="1" applyFont="1" applyBorder="1"/>
    <xf numFmtId="0" fontId="0" fillId="0" borderId="6" xfId="0" applyFont="1" applyBorder="1"/>
    <xf numFmtId="2" fontId="0" fillId="0" borderId="6" xfId="0" applyNumberFormat="1" applyFont="1" applyBorder="1"/>
    <xf numFmtId="2" fontId="0" fillId="0" borderId="7" xfId="0" applyNumberFormat="1" applyFont="1" applyBorder="1"/>
    <xf numFmtId="2" fontId="0" fillId="0" borderId="0" xfId="0" applyNumberFormat="1" applyFont="1" applyBorder="1"/>
    <xf numFmtId="0" fontId="4" fillId="0" borderId="0" xfId="0" applyFont="1" applyFill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6" fillId="0" borderId="51" xfId="0" applyFont="1" applyBorder="1" applyAlignment="1">
      <alignment horizontal="center" vertical="center"/>
    </xf>
    <xf numFmtId="0" fontId="7" fillId="0" borderId="5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50" xfId="0" applyFont="1" applyBorder="1" applyAlignment="1">
      <alignment horizontal="center"/>
    </xf>
    <xf numFmtId="0" fontId="0" fillId="0" borderId="54" xfId="0" applyBorder="1"/>
    <xf numFmtId="0" fontId="8" fillId="0" borderId="0" xfId="0" applyFont="1" applyBorder="1" applyAlignment="1">
      <alignment horizontal="left" wrapText="1"/>
    </xf>
    <xf numFmtId="0" fontId="9" fillId="0" borderId="5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55" xfId="0" applyFont="1" applyBorder="1" applyAlignment="1">
      <alignment horizontal="left"/>
    </xf>
    <xf numFmtId="0" fontId="2" fillId="0" borderId="49" xfId="0" applyFont="1" applyBorder="1" applyAlignment="1">
      <alignment horizontal="center"/>
    </xf>
    <xf numFmtId="0" fontId="3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right"/>
    </xf>
    <xf numFmtId="0" fontId="0" fillId="0" borderId="56" xfId="0" applyBorder="1"/>
    <xf numFmtId="0" fontId="0" fillId="0" borderId="57" xfId="0" applyBorder="1"/>
    <xf numFmtId="0" fontId="9" fillId="0" borderId="56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3" fillId="0" borderId="57" xfId="0" applyFont="1" applyBorder="1"/>
    <xf numFmtId="0" fontId="0" fillId="0" borderId="59" xfId="0" applyBorder="1"/>
    <xf numFmtId="0" fontId="0" fillId="0" borderId="59" xfId="0" applyBorder="1" applyAlignment="1">
      <alignment horizontal="right"/>
    </xf>
    <xf numFmtId="0" fontId="0" fillId="0" borderId="53" xfId="0" applyBorder="1"/>
    <xf numFmtId="0" fontId="0" fillId="0" borderId="55" xfId="0" applyBorder="1"/>
    <xf numFmtId="0" fontId="4" fillId="3" borderId="60" xfId="0" applyFont="1" applyFill="1" applyBorder="1" applyAlignment="1">
      <alignment horizontal="center" vertical="center" wrapText="1"/>
    </xf>
    <xf numFmtId="0" fontId="0" fillId="0" borderId="54" xfId="0" applyBorder="1" applyAlignment="1">
      <alignment vertical="center"/>
    </xf>
    <xf numFmtId="0" fontId="0" fillId="0" borderId="60" xfId="0" applyFont="1" applyBorder="1" applyAlignment="1">
      <alignment horizontal="center" vertical="center"/>
    </xf>
    <xf numFmtId="0" fontId="0" fillId="0" borderId="61" xfId="0" applyFont="1" applyBorder="1" applyAlignment="1">
      <alignment horizontal="left" vertical="center"/>
    </xf>
    <xf numFmtId="0" fontId="0" fillId="0" borderId="62" xfId="0" applyFont="1" applyBorder="1" applyAlignment="1">
      <alignment horizontal="left" vertical="center"/>
    </xf>
    <xf numFmtId="0" fontId="0" fillId="0" borderId="60" xfId="0" applyBorder="1" applyAlignment="1">
      <alignment horizontal="center"/>
    </xf>
    <xf numFmtId="180" fontId="0" fillId="0" borderId="60" xfId="0" applyNumberFormat="1" applyFont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60" xfId="0" applyBorder="1"/>
    <xf numFmtId="0" fontId="2" fillId="0" borderId="0" xfId="0" applyFont="1" applyBorder="1"/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4" fillId="0" borderId="63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/>
    </xf>
    <xf numFmtId="0" fontId="0" fillId="0" borderId="0" xfId="0" applyFont="1" applyAlignment="1">
      <alignment horizontal="right"/>
    </xf>
    <xf numFmtId="0" fontId="4" fillId="3" borderId="64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66" xfId="0" applyFont="1" applyFill="1" applyBorder="1" applyAlignment="1">
      <alignment horizontal="center" vertical="center" wrapText="1"/>
    </xf>
    <xf numFmtId="0" fontId="4" fillId="3" borderId="67" xfId="0" applyFont="1" applyFill="1" applyBorder="1" applyAlignment="1">
      <alignment horizontal="center" vertical="center" wrapText="1"/>
    </xf>
    <xf numFmtId="0" fontId="0" fillId="0" borderId="68" xfId="0" applyFont="1" applyBorder="1" applyAlignment="1">
      <alignment horizontal="center" vertical="center"/>
    </xf>
    <xf numFmtId="0" fontId="0" fillId="0" borderId="58" xfId="0" applyFont="1" applyBorder="1" applyAlignment="1">
      <alignment horizontal="left" vertical="center"/>
    </xf>
    <xf numFmtId="0" fontId="0" fillId="0" borderId="69" xfId="0" applyFont="1" applyBorder="1" applyAlignment="1">
      <alignment horizontal="left" vertical="center"/>
    </xf>
    <xf numFmtId="0" fontId="0" fillId="0" borderId="70" xfId="0" applyFont="1" applyBorder="1" applyAlignment="1">
      <alignment horizontal="justify" vertical="center"/>
    </xf>
    <xf numFmtId="0" fontId="0" fillId="0" borderId="71" xfId="0" applyFont="1" applyBorder="1" applyAlignment="1">
      <alignment horizontal="justify" vertical="center"/>
    </xf>
    <xf numFmtId="0" fontId="0" fillId="0" borderId="72" xfId="0" applyFont="1" applyBorder="1" applyAlignment="1">
      <alignment horizontal="center" vertical="center"/>
    </xf>
    <xf numFmtId="0" fontId="0" fillId="0" borderId="73" xfId="0" applyFont="1" applyBorder="1" applyAlignment="1">
      <alignment horizontal="left" vertical="center"/>
    </xf>
    <xf numFmtId="0" fontId="0" fillId="0" borderId="74" xfId="0" applyFont="1" applyBorder="1" applyAlignment="1">
      <alignment horizontal="left" vertical="center"/>
    </xf>
    <xf numFmtId="0" fontId="0" fillId="0" borderId="75" xfId="0" applyFont="1" applyBorder="1" applyAlignment="1">
      <alignment horizontal="justify" vertical="center"/>
    </xf>
    <xf numFmtId="0" fontId="0" fillId="0" borderId="76" xfId="0" applyFont="1" applyBorder="1" applyAlignment="1">
      <alignment horizontal="justify" vertical="center"/>
    </xf>
    <xf numFmtId="0" fontId="0" fillId="0" borderId="77" xfId="0" applyFont="1" applyBorder="1" applyAlignment="1">
      <alignment horizontal="left" vertical="center"/>
    </xf>
    <xf numFmtId="0" fontId="0" fillId="0" borderId="78" xfId="0" applyFont="1" applyBorder="1" applyAlignment="1">
      <alignment horizontal="left" vertical="center"/>
    </xf>
    <xf numFmtId="0" fontId="0" fillId="0" borderId="79" xfId="0" applyFont="1" applyBorder="1" applyAlignment="1">
      <alignment horizontal="justify" vertical="center"/>
    </xf>
    <xf numFmtId="0" fontId="0" fillId="0" borderId="80" xfId="0" applyFont="1" applyBorder="1" applyAlignment="1">
      <alignment horizontal="justify" vertical="center"/>
    </xf>
    <xf numFmtId="0" fontId="0" fillId="0" borderId="81" xfId="0" applyFont="1" applyBorder="1" applyAlignment="1">
      <alignment horizontal="center" vertical="center"/>
    </xf>
    <xf numFmtId="0" fontId="0" fillId="0" borderId="82" xfId="0" applyFont="1" applyBorder="1" applyAlignment="1">
      <alignment horizontal="left" vertical="center"/>
    </xf>
    <xf numFmtId="0" fontId="0" fillId="0" borderId="83" xfId="0" applyFont="1" applyBorder="1" applyAlignment="1">
      <alignment horizontal="left" vertical="center"/>
    </xf>
    <xf numFmtId="0" fontId="0" fillId="0" borderId="84" xfId="0" applyFont="1" applyBorder="1" applyAlignment="1">
      <alignment horizontal="justify" vertical="center"/>
    </xf>
    <xf numFmtId="0" fontId="0" fillId="0" borderId="85" xfId="0" applyFont="1" applyBorder="1" applyAlignment="1">
      <alignment horizontal="justify" vertical="center"/>
    </xf>
    <xf numFmtId="0" fontId="2" fillId="0" borderId="0" xfId="0" applyFont="1"/>
    <xf numFmtId="0" fontId="0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Grafik Cartesius Importance - Performance</a:t>
            </a:r>
            <a:endParaRPr lang="en-US" sz="1400" b="1" i="0" u="none" strike="noStrike" baseline="0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  </a:t>
            </a:r>
            <a:endParaRPr lang="en-US" sz="1000" b="0" i="0" u="none" strike="noStrike" baseline="0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341276462699216"/>
          <c:y val="0.129965196356725"/>
          <c:w val="0.909551926619276"/>
          <c:h val="0.803107739248082"/>
        </c:manualLayout>
      </c:layout>
      <c:scatterChart>
        <c:scatterStyle val="marker"/>
        <c:varyColors val="0"/>
        <c:ser>
          <c:idx val="1"/>
          <c:order val="0"/>
          <c:spPr>
            <a:ln w="9525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0244161371056457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X2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X3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X4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X5</a:t>
                    </a:r>
                    <a:endParaRPr lang="en-US"/>
                  </a:p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X6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X7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0.0302242524819179"/>
                  <c:y val="0.033409094965538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X8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561571153429852"/>
                  <c:y val="0.02744395521418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X9</a:t>
                    </a:r>
                    <a:endParaRPr lang="en-US"/>
                  </a:p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X10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X11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X12; X14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X13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'[1] master'!$D$59:$D$72</c:f>
              <c:numCache>
                <c:formatCode>General</c:formatCode>
                <c:ptCount val="14"/>
              </c:numCache>
            </c:numRef>
          </c:xVal>
          <c:yVal>
            <c:numRef>
              <c:f>'[1] master'!$F$59:$F$72</c:f>
              <c:numCache>
                <c:formatCode>General</c:formatCode>
                <c:ptCount val="14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454819"/>
        <c:axId val="296827162"/>
      </c:scatterChart>
      <c:valAx>
        <c:axId val="815454819"/>
        <c:scaling>
          <c:orientation val="minMax"/>
          <c:max val="3.6"/>
          <c:min val="2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296827162"/>
        <c:crossesAt val="3.49"/>
        <c:crossBetween val="midCat"/>
        <c:majorUnit val="0.1"/>
      </c:valAx>
      <c:valAx>
        <c:axId val="296827162"/>
        <c:scaling>
          <c:orientation val="minMax"/>
          <c:min val="3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454819"/>
        <c:crossesAt val="3.07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Grafik Cartesius Importance - Performance</a:t>
            </a:r>
            <a:endParaRPr lang="en-US" sz="1400" b="1" i="0" u="none" strike="noStrike" baseline="0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  </a:t>
            </a:r>
            <a:endParaRPr lang="en-US" sz="1000" b="0" i="0" u="none" strike="noStrike" baseline="0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41276462699216"/>
          <c:y val="0.129965196356725"/>
          <c:w val="0.909551926619276"/>
          <c:h val="0.803107739248083"/>
        </c:manualLayout>
      </c:layout>
      <c:scatterChart>
        <c:scatterStyle val="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0244161371056458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X2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X3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X4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X5</a:t>
                    </a:r>
                    <a:endParaRPr lang="en-US"/>
                  </a:p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X6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X7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0.0302242524819179"/>
                  <c:y val="0.033409094965538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X8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561571153429852"/>
                  <c:y val="0.02744395521418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X9</a:t>
                    </a:r>
                    <a:endParaRPr lang="en-US"/>
                  </a:p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X10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X11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X12; X14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X13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</c:dLbl>
            <c:numFmt formatCode="General" sourceLinked="1"/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'[1] master'!$D$59:$D$72</c:f>
              <c:numCache>
                <c:formatCode>General</c:formatCode>
                <c:ptCount val="14"/>
              </c:numCache>
            </c:numRef>
          </c:xVal>
          <c:yVal>
            <c:numRef>
              <c:f>'[1] master'!$F$59:$F$72</c:f>
              <c:numCache>
                <c:formatCode>General</c:formatCode>
                <c:ptCount val="14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802662"/>
        <c:axId val="853951852"/>
      </c:scatterChart>
      <c:valAx>
        <c:axId val="947802662"/>
        <c:scaling>
          <c:orientation val="minMax"/>
          <c:max val="3.6"/>
          <c:min val="2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853951852"/>
        <c:crossesAt val="3.49"/>
        <c:crossBetween val="midCat"/>
        <c:majorUnit val="0.1"/>
      </c:valAx>
      <c:valAx>
        <c:axId val="853951852"/>
        <c:scaling>
          <c:orientation val="minMax"/>
          <c:min val="3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802662"/>
        <c:crossesAt val="3.07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209550</xdr:colOff>
      <xdr:row>0</xdr:row>
      <xdr:rowOff>76200</xdr:rowOff>
    </xdr:from>
    <xdr:to>
      <xdr:col>2</xdr:col>
      <xdr:colOff>548640</xdr:colOff>
      <xdr:row>3</xdr:row>
      <xdr:rowOff>57150</xdr:rowOff>
    </xdr:to>
    <xdr:pic>
      <xdr:nvPicPr>
        <xdr:cNvPr id="1032" name="Graphics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785" y="76200"/>
          <a:ext cx="807720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199390</xdr:colOff>
      <xdr:row>0</xdr:row>
      <xdr:rowOff>76200</xdr:rowOff>
    </xdr:from>
    <xdr:to>
      <xdr:col>2</xdr:col>
      <xdr:colOff>319405</xdr:colOff>
      <xdr:row>3</xdr:row>
      <xdr:rowOff>57150</xdr:rowOff>
    </xdr:to>
    <xdr:pic>
      <xdr:nvPicPr>
        <xdr:cNvPr id="2056" name="Graphics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390" y="76200"/>
          <a:ext cx="748030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209550</xdr:colOff>
      <xdr:row>0</xdr:row>
      <xdr:rowOff>76200</xdr:rowOff>
    </xdr:from>
    <xdr:to>
      <xdr:col>2</xdr:col>
      <xdr:colOff>548640</xdr:colOff>
      <xdr:row>3</xdr:row>
      <xdr:rowOff>57150</xdr:rowOff>
    </xdr:to>
    <xdr:pic>
      <xdr:nvPicPr>
        <xdr:cNvPr id="3080" name="Graphics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785" y="76200"/>
          <a:ext cx="807720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239395</xdr:colOff>
      <xdr:row>4</xdr:row>
      <xdr:rowOff>47625</xdr:rowOff>
    </xdr:to>
    <xdr:pic>
      <xdr:nvPicPr>
        <xdr:cNvPr id="4113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075" y="0"/>
          <a:ext cx="1017270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10160</xdr:colOff>
      <xdr:row>88</xdr:row>
      <xdr:rowOff>28575</xdr:rowOff>
    </xdr:from>
    <xdr:to>
      <xdr:col>15</xdr:col>
      <xdr:colOff>328930</xdr:colOff>
      <xdr:row>110</xdr:row>
      <xdr:rowOff>152400</xdr:rowOff>
    </xdr:to>
    <xdr:graphicFrame>
      <xdr:nvGraphicFramePr>
        <xdr:cNvPr id="4114" name="Chart 2"/>
        <xdr:cNvGraphicFramePr/>
      </xdr:nvGraphicFramePr>
      <xdr:xfrm>
        <a:off x="229235" y="15179675"/>
        <a:ext cx="6360795" cy="3616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199390</xdr:colOff>
      <xdr:row>59</xdr:row>
      <xdr:rowOff>76200</xdr:rowOff>
    </xdr:from>
    <xdr:to>
      <xdr:col>2</xdr:col>
      <xdr:colOff>229870</xdr:colOff>
      <xdr:row>63</xdr:row>
      <xdr:rowOff>123825</xdr:rowOff>
    </xdr:to>
    <xdr:pic>
      <xdr:nvPicPr>
        <xdr:cNvPr id="4115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390" y="9893300"/>
          <a:ext cx="1027430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189230</xdr:colOff>
      <xdr:row>116</xdr:row>
      <xdr:rowOff>85725</xdr:rowOff>
    </xdr:from>
    <xdr:to>
      <xdr:col>2</xdr:col>
      <xdr:colOff>219075</xdr:colOff>
      <xdr:row>120</xdr:row>
      <xdr:rowOff>133350</xdr:rowOff>
    </xdr:to>
    <xdr:pic>
      <xdr:nvPicPr>
        <xdr:cNvPr id="4116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230" y="19691350"/>
          <a:ext cx="1026795" cy="746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0.18354</cdr:x>
      <cdr:y>0.33398</cdr:y>
    </cdr:from>
    <cdr:to>
      <cdr:x>0.41302</cdr:x>
      <cdr:y>0.40611</cdr:y>
    </cdr:to>
    <cdr:sp>
      <cdr:nvSpPr>
        <cdr:cNvPr id="2" name="TextBox 1"/>
        <cdr:cNvSpPr/>
      </cdr:nvSpPr>
      <cdr:spPr xmlns:a="http://schemas.openxmlformats.org/drawingml/2006/main">
        <a:xfrm xmlns:a="http://schemas.openxmlformats.org/drawingml/2006/main">
          <a:off x="1839" y="1902"/>
          <a:ext cx="2299" cy="411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</a:t>
          </a:r>
          <a:endParaRPr lang="en-US" sz="1100"/>
        </a:p>
      </cdr:txBody>
    </cdr:sp>
  </cdr:relSizeAnchor>
  <cdr:relSizeAnchor xmlns:cdr="http://schemas.openxmlformats.org/drawingml/2006/chartDrawing">
    <cdr:from>
      <cdr:x>0.70381</cdr:x>
      <cdr:y>0.38089</cdr:y>
    </cdr:from>
    <cdr:to>
      <cdr:x>0.85447</cdr:x>
      <cdr:y>0.46704</cdr:y>
    </cdr:to>
    <cdr:sp>
      <cdr:nvSpPr>
        <cdr:cNvPr id="3" name="TextBox 2"/>
        <cdr:cNvSpPr/>
      </cdr:nvSpPr>
      <cdr:spPr xmlns:a="http://schemas.openxmlformats.org/drawingml/2006/main">
        <a:xfrm xmlns:a="http://schemas.openxmlformats.org/drawingml/2006/main">
          <a:off x="7050" y="2169"/>
          <a:ext cx="1509" cy="491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 anchor="t"/>
        <a:p>
          <a:pPr algn="l"/>
        </a:p>
      </cdr:txBody>
    </cdr:sp>
  </cdr:relSizeAnchor>
  <cdr:relSizeAnchor xmlns:cdr="http://schemas.openxmlformats.org/drawingml/2006/chartDrawing">
    <cdr:from>
      <cdr:x>0.72432</cdr:x>
      <cdr:y>0.34398</cdr:y>
    </cdr:from>
    <cdr:to>
      <cdr:x>0.90602</cdr:x>
      <cdr:y>0.44165</cdr:y>
    </cdr:to>
    <cdr:sp>
      <cdr:nvSpPr>
        <cdr:cNvPr id="4" name="TextBox 4"/>
        <cdr:cNvSpPr/>
      </cdr:nvSpPr>
      <cdr:spPr xmlns:a="http://schemas.openxmlformats.org/drawingml/2006/main">
        <a:xfrm xmlns:a="http://schemas.openxmlformats.org/drawingml/2006/main">
          <a:off x="7256" y="1959"/>
          <a:ext cx="1820" cy="55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II</a:t>
          </a:r>
          <a:endParaRPr lang="en-US" sz="1100"/>
        </a:p>
      </cdr:txBody>
    </cdr:sp>
  </cdr:relSizeAnchor>
  <cdr:relSizeAnchor xmlns:cdr="http://schemas.openxmlformats.org/drawingml/2006/chartDrawing">
    <cdr:from>
      <cdr:x>0.17112</cdr:x>
      <cdr:y>0.77228</cdr:y>
    </cdr:from>
    <cdr:to>
      <cdr:x>0.32204</cdr:x>
      <cdr:y>0.99089</cdr:y>
    </cdr:to>
    <cdr:sp>
      <cdr:nvSpPr>
        <cdr:cNvPr id="5" name="TextBox 5"/>
        <cdr:cNvSpPr/>
      </cdr:nvSpPr>
      <cdr:spPr xmlns:a="http://schemas.openxmlformats.org/drawingml/2006/main">
        <a:xfrm xmlns:a="http://schemas.openxmlformats.org/drawingml/2006/main">
          <a:off x="1714" y="4398"/>
          <a:ext cx="1512" cy="124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 anchor="t"/>
        <a:p>
          <a:pPr algn="l"/>
        </a:p>
      </cdr:txBody>
    </cdr:sp>
  </cdr:relSizeAnchor>
  <cdr:relSizeAnchor xmlns:cdr="http://schemas.openxmlformats.org/drawingml/2006/chartDrawing">
    <cdr:from>
      <cdr:x>0.17653</cdr:x>
      <cdr:y>0.74257</cdr:y>
    </cdr:from>
    <cdr:to>
      <cdr:x>0.39791</cdr:x>
      <cdr:y>0.80198</cdr:y>
    </cdr:to>
    <cdr:sp>
      <cdr:nvSpPr>
        <cdr:cNvPr id="6" name="TextBox 6"/>
        <cdr:cNvSpPr/>
      </cdr:nvSpPr>
      <cdr:spPr xmlns:a="http://schemas.openxmlformats.org/drawingml/2006/main">
        <a:xfrm xmlns:a="http://schemas.openxmlformats.org/drawingml/2006/main">
          <a:off x="1768" y="4229"/>
          <a:ext cx="2218" cy="338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III</a:t>
          </a:r>
          <a:endParaRPr lang="en-US" sz="1100"/>
        </a:p>
      </cdr:txBody>
    </cdr:sp>
  </cdr:relSizeAnchor>
  <cdr:relSizeAnchor xmlns:cdr="http://schemas.openxmlformats.org/drawingml/2006/chartDrawing">
    <cdr:from>
      <cdr:x>0.70922</cdr:x>
      <cdr:y>0.74257</cdr:y>
    </cdr:from>
    <cdr:to>
      <cdr:x>0.89607</cdr:x>
      <cdr:y>0.82509</cdr:y>
    </cdr:to>
    <cdr:sp>
      <cdr:nvSpPr>
        <cdr:cNvPr id="7" name="TextBox 7"/>
        <cdr:cNvSpPr/>
      </cdr:nvSpPr>
      <cdr:spPr xmlns:a="http://schemas.openxmlformats.org/drawingml/2006/main">
        <a:xfrm xmlns:a="http://schemas.openxmlformats.org/drawingml/2006/main">
          <a:off x="7104" y="4229"/>
          <a:ext cx="1872" cy="47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IV</a:t>
          </a:r>
          <a:endParaRPr lang="en-US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239395</xdr:colOff>
      <xdr:row>4</xdr:row>
      <xdr:rowOff>47625</xdr:rowOff>
    </xdr:to>
    <xdr:pic>
      <xdr:nvPicPr>
        <xdr:cNvPr id="8197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075" y="0"/>
          <a:ext cx="1017270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10160</xdr:colOff>
      <xdr:row>88</xdr:row>
      <xdr:rowOff>28575</xdr:rowOff>
    </xdr:from>
    <xdr:to>
      <xdr:col>15</xdr:col>
      <xdr:colOff>328930</xdr:colOff>
      <xdr:row>110</xdr:row>
      <xdr:rowOff>152400</xdr:rowOff>
    </xdr:to>
    <xdr:graphicFrame>
      <xdr:nvGraphicFramePr>
        <xdr:cNvPr id="8198" name="Chart 2"/>
        <xdr:cNvGraphicFramePr/>
      </xdr:nvGraphicFramePr>
      <xdr:xfrm>
        <a:off x="229235" y="15179675"/>
        <a:ext cx="6360795" cy="3616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199390</xdr:colOff>
      <xdr:row>59</xdr:row>
      <xdr:rowOff>76200</xdr:rowOff>
    </xdr:from>
    <xdr:to>
      <xdr:col>2</xdr:col>
      <xdr:colOff>229870</xdr:colOff>
      <xdr:row>63</xdr:row>
      <xdr:rowOff>123825</xdr:rowOff>
    </xdr:to>
    <xdr:pic>
      <xdr:nvPicPr>
        <xdr:cNvPr id="8199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390" y="9893300"/>
          <a:ext cx="1027430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189230</xdr:colOff>
      <xdr:row>116</xdr:row>
      <xdr:rowOff>85725</xdr:rowOff>
    </xdr:from>
    <xdr:to>
      <xdr:col>2</xdr:col>
      <xdr:colOff>219075</xdr:colOff>
      <xdr:row>120</xdr:row>
      <xdr:rowOff>133350</xdr:rowOff>
    </xdr:to>
    <xdr:pic>
      <xdr:nvPicPr>
        <xdr:cNvPr id="8200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230" y="19691350"/>
          <a:ext cx="1026795" cy="746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0.18354</cdr:x>
      <cdr:y>0.33398</cdr:y>
    </cdr:from>
    <cdr:to>
      <cdr:x>0.41302</cdr:x>
      <cdr:y>0.40611</cdr:y>
    </cdr:to>
    <cdr:sp>
      <cdr:nvSpPr>
        <cdr:cNvPr id="2" name="TextBox 1"/>
        <cdr:cNvSpPr/>
      </cdr:nvSpPr>
      <cdr:spPr xmlns:a="http://schemas.openxmlformats.org/drawingml/2006/main">
        <a:xfrm xmlns:a="http://schemas.openxmlformats.org/drawingml/2006/main">
          <a:off x="1170374" y="1207780"/>
          <a:ext cx="1463318" cy="26084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</a:t>
          </a:r>
          <a:endParaRPr lang="en-US" sz="1100"/>
        </a:p>
      </cdr:txBody>
    </cdr:sp>
  </cdr:relSizeAnchor>
  <cdr:relSizeAnchor xmlns:cdr="http://schemas.openxmlformats.org/drawingml/2006/chartDrawing">
    <cdr:from>
      <cdr:x>0.70381</cdr:x>
      <cdr:y>0.38089</cdr:y>
    </cdr:from>
    <cdr:to>
      <cdr:x>0.85447</cdr:x>
      <cdr:y>0.46704</cdr:y>
    </cdr:to>
    <cdr:sp>
      <cdr:nvSpPr>
        <cdr:cNvPr id="3" name="TextBox 2"/>
        <cdr:cNvSpPr/>
      </cdr:nvSpPr>
      <cdr:spPr xmlns:a="http://schemas.openxmlformats.org/drawingml/2006/main">
        <a:xfrm xmlns:a="http://schemas.openxmlformats.org/drawingml/2006/main">
          <a:off x="4487964" y="1377422"/>
          <a:ext cx="960709" cy="31154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 anchor="t"/>
        <a:p>
          <a:pPr algn="l"/>
        </a:p>
      </cdr:txBody>
    </cdr:sp>
  </cdr:relSizeAnchor>
  <cdr:relSizeAnchor xmlns:cdr="http://schemas.openxmlformats.org/drawingml/2006/chartDrawing">
    <cdr:from>
      <cdr:x>0.72432</cdr:x>
      <cdr:y>0.34398</cdr:y>
    </cdr:from>
    <cdr:to>
      <cdr:x>0.90602</cdr:x>
      <cdr:y>0.44165</cdr:y>
    </cdr:to>
    <cdr:sp>
      <cdr:nvSpPr>
        <cdr:cNvPr id="4" name="TextBox 4"/>
        <cdr:cNvSpPr/>
      </cdr:nvSpPr>
      <cdr:spPr xmlns:a="http://schemas.openxmlformats.org/drawingml/2006/main">
        <a:xfrm xmlns:a="http://schemas.openxmlformats.org/drawingml/2006/main">
          <a:off x="4618750" y="1243943"/>
          <a:ext cx="1158641" cy="35320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II</a:t>
          </a:r>
          <a:endParaRPr lang="en-US" sz="1100"/>
        </a:p>
      </cdr:txBody>
    </cdr:sp>
  </cdr:relSizeAnchor>
  <cdr:relSizeAnchor xmlns:cdr="http://schemas.openxmlformats.org/drawingml/2006/chartDrawing">
    <cdr:from>
      <cdr:x>0.17112</cdr:x>
      <cdr:y>0.77228</cdr:y>
    </cdr:from>
    <cdr:to>
      <cdr:x>0.32204</cdr:x>
      <cdr:y>0.99089</cdr:y>
    </cdr:to>
    <cdr:sp>
      <cdr:nvSpPr>
        <cdr:cNvPr id="5" name="TextBox 5"/>
        <cdr:cNvSpPr/>
      </cdr:nvSpPr>
      <cdr:spPr xmlns:a="http://schemas.openxmlformats.org/drawingml/2006/main">
        <a:xfrm xmlns:a="http://schemas.openxmlformats.org/drawingml/2006/main">
          <a:off x="1091176" y="2792815"/>
          <a:ext cx="962367" cy="79056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 anchor="t"/>
        <a:p>
          <a:pPr algn="l"/>
        </a:p>
      </cdr:txBody>
    </cdr:sp>
  </cdr:relSizeAnchor>
  <cdr:relSizeAnchor xmlns:cdr="http://schemas.openxmlformats.org/drawingml/2006/chartDrawing">
    <cdr:from>
      <cdr:x>0.17653</cdr:x>
      <cdr:y>0.74257</cdr:y>
    </cdr:from>
    <cdr:to>
      <cdr:x>0.39791</cdr:x>
      <cdr:y>0.80198</cdr:y>
    </cdr:to>
    <cdr:sp>
      <cdr:nvSpPr>
        <cdr:cNvPr id="6" name="TextBox 6"/>
        <cdr:cNvSpPr/>
      </cdr:nvSpPr>
      <cdr:spPr xmlns:a="http://schemas.openxmlformats.org/drawingml/2006/main">
        <a:xfrm xmlns:a="http://schemas.openxmlformats.org/drawingml/2006/main">
          <a:off x="1125674" y="2685374"/>
          <a:ext cx="1411667" cy="21484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III</a:t>
          </a:r>
          <a:endParaRPr lang="en-US" sz="1100"/>
        </a:p>
      </cdr:txBody>
    </cdr:sp>
  </cdr:relSizeAnchor>
  <cdr:relSizeAnchor xmlns:cdr="http://schemas.openxmlformats.org/drawingml/2006/chartDrawing">
    <cdr:from>
      <cdr:x>0.70922</cdr:x>
      <cdr:y>0.74257</cdr:y>
    </cdr:from>
    <cdr:to>
      <cdr:x>0.89607</cdr:x>
      <cdr:y>0.82509</cdr:y>
    </cdr:to>
    <cdr:sp>
      <cdr:nvSpPr>
        <cdr:cNvPr id="7" name="TextBox 7"/>
        <cdr:cNvSpPr/>
      </cdr:nvSpPr>
      <cdr:spPr xmlns:a="http://schemas.openxmlformats.org/drawingml/2006/main">
        <a:xfrm xmlns:a="http://schemas.openxmlformats.org/drawingml/2006/main">
          <a:off x="4522462" y="2685374"/>
          <a:ext cx="1191481" cy="298419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IV</a:t>
          </a:r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elatihan%20Survey%20Kepuasan%20Pelanggan\Insterskil%20-%20Praktek%20-%2024%20September%202014%20ellis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inerja "/>
      <sheetName val=" master"/>
      <sheetName val=" kinerja lab sep sd feb 15"/>
      <sheetName val=" kinerja lab maret sd agt 15"/>
      <sheetName val="harapan"/>
      <sheetName val="variabel (2)"/>
      <sheetName val="DIAGRAM (2)"/>
      <sheetName val="DIAGRAM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zoomScale="85" zoomScaleNormal="85" zoomScaleSheetLayoutView="60" workbookViewId="0">
      <selection activeCell="D20" sqref="D20"/>
    </sheetView>
  </sheetViews>
  <sheetFormatPr defaultColWidth="11.5727272727273" defaultRowHeight="18" customHeight="1"/>
  <cols>
    <col min="1" max="1" width="3.28181818181818" customWidth="1"/>
    <col min="2" max="2" width="6.70909090909091" customWidth="1"/>
    <col min="3" max="3" width="14.7090909090909" customWidth="1"/>
    <col min="4" max="4" width="30.7090909090909" customWidth="1"/>
    <col min="5" max="10" width="17.7090909090909" customWidth="1"/>
    <col min="11" max="11" width="3.28181818181818" customWidth="1"/>
  </cols>
  <sheetData>
    <row r="1" customHeight="1" spans="1:11">
      <c r="A1" s="115"/>
      <c r="B1" s="116"/>
      <c r="C1" s="116"/>
      <c r="D1" s="117" t="s">
        <v>0</v>
      </c>
      <c r="E1" s="117"/>
      <c r="F1" s="117"/>
      <c r="G1" s="117" t="s">
        <v>1</v>
      </c>
      <c r="H1" s="117"/>
      <c r="I1" s="117"/>
      <c r="J1" s="117"/>
      <c r="K1" s="118"/>
    </row>
    <row r="2" customHeight="1" spans="1:11">
      <c r="A2" s="121"/>
      <c r="B2" s="122"/>
      <c r="C2" s="122"/>
      <c r="D2" s="123" t="s">
        <v>2</v>
      </c>
      <c r="E2" s="123"/>
      <c r="F2" s="123"/>
      <c r="G2" s="124"/>
      <c r="H2" s="11"/>
      <c r="I2" s="125"/>
      <c r="J2" s="126"/>
      <c r="K2" s="127"/>
    </row>
    <row r="3" customHeight="1" spans="1:11">
      <c r="A3" s="121"/>
      <c r="B3" s="126"/>
      <c r="C3" s="126"/>
      <c r="D3" s="123" t="s">
        <v>3</v>
      </c>
      <c r="E3" s="123"/>
      <c r="F3" s="123"/>
      <c r="G3" s="129" t="s">
        <v>4</v>
      </c>
      <c r="H3" s="129"/>
      <c r="I3" s="129"/>
      <c r="J3" s="129"/>
      <c r="K3" s="127"/>
    </row>
    <row r="4" customHeight="1" spans="1:11">
      <c r="A4" s="131"/>
      <c r="B4" s="132"/>
      <c r="C4" s="132"/>
      <c r="D4" s="133"/>
      <c r="E4" s="133"/>
      <c r="F4" s="133"/>
      <c r="G4" s="133"/>
      <c r="H4" s="134"/>
      <c r="I4" s="135"/>
      <c r="J4" s="132"/>
      <c r="K4" s="136"/>
    </row>
    <row r="5" ht="30" customHeight="1" spans="1:11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38"/>
    </row>
    <row r="6" customHeight="1" spans="1:11">
      <c r="A6" s="121"/>
      <c r="B6" s="126" t="s">
        <v>5</v>
      </c>
      <c r="C6" s="8"/>
      <c r="D6" s="126"/>
      <c r="E6" s="8"/>
      <c r="F6" s="8"/>
      <c r="G6" s="8"/>
      <c r="H6" s="8"/>
      <c r="I6" s="8"/>
      <c r="J6" s="8"/>
      <c r="K6" s="139"/>
    </row>
    <row r="7" customHeight="1" spans="1:11">
      <c r="A7" s="121"/>
      <c r="B7" s="157" t="s">
        <v>6</v>
      </c>
      <c r="C7" s="158" t="s">
        <v>7</v>
      </c>
      <c r="D7" s="158"/>
      <c r="E7" s="159" t="s">
        <v>8</v>
      </c>
      <c r="F7" s="159"/>
      <c r="G7" s="159"/>
      <c r="H7" s="159"/>
      <c r="I7" s="158" t="s">
        <v>9</v>
      </c>
      <c r="J7" s="160" t="s">
        <v>10</v>
      </c>
      <c r="K7" s="139"/>
    </row>
    <row r="8" customHeight="1" spans="1:11">
      <c r="A8" s="121"/>
      <c r="B8" s="157"/>
      <c r="C8" s="158"/>
      <c r="D8" s="158"/>
      <c r="E8" s="140">
        <v>1</v>
      </c>
      <c r="F8" s="140">
        <v>2</v>
      </c>
      <c r="G8" s="140">
        <v>3</v>
      </c>
      <c r="H8" s="140">
        <v>4</v>
      </c>
      <c r="I8" s="158"/>
      <c r="J8" s="160"/>
      <c r="K8" s="139"/>
    </row>
    <row r="9" s="112" customFormat="1" customHeight="1" spans="1:11">
      <c r="A9" s="141"/>
      <c r="B9" s="161">
        <v>1</v>
      </c>
      <c r="C9" s="162" t="s">
        <v>11</v>
      </c>
      <c r="D9" s="163"/>
      <c r="E9" s="164"/>
      <c r="F9" s="164"/>
      <c r="G9" s="164"/>
      <c r="H9" s="164"/>
      <c r="I9" s="164"/>
      <c r="J9" s="165"/>
      <c r="K9" s="147"/>
    </row>
    <row r="10" s="112" customFormat="1" customHeight="1" spans="1:11">
      <c r="A10" s="141"/>
      <c r="B10" s="166">
        <v>2</v>
      </c>
      <c r="C10" s="167" t="s">
        <v>12</v>
      </c>
      <c r="D10" s="168"/>
      <c r="E10" s="169"/>
      <c r="F10" s="169"/>
      <c r="G10" s="169"/>
      <c r="H10" s="169"/>
      <c r="I10" s="169"/>
      <c r="J10" s="170"/>
      <c r="K10" s="147"/>
    </row>
    <row r="11" s="112" customFormat="1" customHeight="1" spans="1:11">
      <c r="A11" s="141"/>
      <c r="B11" s="166">
        <v>3</v>
      </c>
      <c r="C11" s="167" t="s">
        <v>13</v>
      </c>
      <c r="D11" s="168"/>
      <c r="E11" s="169"/>
      <c r="F11" s="169"/>
      <c r="G11" s="169"/>
      <c r="H11" s="169"/>
      <c r="I11" s="169"/>
      <c r="J11" s="170"/>
      <c r="K11" s="147"/>
    </row>
    <row r="12" s="112" customFormat="1" customHeight="1" spans="1:11">
      <c r="A12" s="141"/>
      <c r="B12" s="166">
        <v>4</v>
      </c>
      <c r="C12" s="171" t="s">
        <v>14</v>
      </c>
      <c r="D12" s="172"/>
      <c r="E12" s="173"/>
      <c r="F12" s="173"/>
      <c r="G12" s="173"/>
      <c r="H12" s="173"/>
      <c r="I12" s="173"/>
      <c r="J12" s="174"/>
      <c r="K12" s="147"/>
    </row>
    <row r="13" s="112" customFormat="1" customHeight="1" spans="1:11">
      <c r="A13" s="141"/>
      <c r="B13" s="166"/>
      <c r="C13" s="171" t="s">
        <v>15</v>
      </c>
      <c r="D13" s="172"/>
      <c r="E13" s="173"/>
      <c r="F13" s="173"/>
      <c r="G13" s="173"/>
      <c r="H13" s="173"/>
      <c r="I13" s="173"/>
      <c r="J13" s="174"/>
      <c r="K13" s="147"/>
    </row>
    <row r="14" s="112" customFormat="1" customHeight="1" spans="1:11">
      <c r="A14" s="141"/>
      <c r="B14" s="175">
        <v>5</v>
      </c>
      <c r="C14" s="176" t="s">
        <v>16</v>
      </c>
      <c r="D14" s="177"/>
      <c r="E14" s="178"/>
      <c r="F14" s="178"/>
      <c r="G14" s="178"/>
      <c r="H14" s="178"/>
      <c r="I14" s="178"/>
      <c r="J14" s="179"/>
      <c r="K14" s="147"/>
    </row>
    <row r="15" ht="8.1" customHeight="1" spans="1:11">
      <c r="A15" s="121"/>
      <c r="B15" s="8"/>
      <c r="C15" s="8"/>
      <c r="D15" s="8"/>
      <c r="E15" s="8"/>
      <c r="F15" s="8"/>
      <c r="G15" s="8"/>
      <c r="H15" s="8"/>
      <c r="I15" s="8"/>
      <c r="J15" s="8"/>
      <c r="K15" s="139"/>
    </row>
    <row r="16" customHeight="1" spans="1:11">
      <c r="A16" s="121"/>
      <c r="B16" s="151" t="s">
        <v>17</v>
      </c>
      <c r="C16" s="151"/>
      <c r="D16" s="8"/>
      <c r="E16" s="8"/>
      <c r="F16" s="8"/>
      <c r="G16" s="8"/>
      <c r="H16" s="8"/>
      <c r="I16" s="8"/>
      <c r="J16" s="8"/>
      <c r="K16" s="139"/>
    </row>
    <row r="17" customHeight="1" spans="1:11">
      <c r="A17" s="121"/>
      <c r="B17" s="8">
        <v>1</v>
      </c>
      <c r="C17" s="152" t="s">
        <v>18</v>
      </c>
      <c r="D17" s="8"/>
      <c r="E17" s="8"/>
      <c r="F17" s="8"/>
      <c r="G17" s="8"/>
      <c r="H17" s="8"/>
      <c r="I17" s="8"/>
      <c r="J17" s="8"/>
      <c r="K17" s="139"/>
    </row>
    <row r="18" customHeight="1" spans="1:11">
      <c r="A18" s="121"/>
      <c r="B18" s="8">
        <v>2</v>
      </c>
      <c r="C18" s="152" t="s">
        <v>19</v>
      </c>
      <c r="D18" s="8"/>
      <c r="E18" s="8"/>
      <c r="F18" s="8"/>
      <c r="G18" s="8"/>
      <c r="H18" s="8"/>
      <c r="I18" s="8"/>
      <c r="J18" s="8"/>
      <c r="K18" s="139"/>
    </row>
    <row r="19" customHeight="1" spans="1:11">
      <c r="A19" s="121"/>
      <c r="B19" s="153">
        <v>3</v>
      </c>
      <c r="C19" s="152" t="s">
        <v>20</v>
      </c>
      <c r="D19" s="8"/>
      <c r="E19" s="8"/>
      <c r="F19" s="8"/>
      <c r="G19" s="8"/>
      <c r="H19" s="8"/>
      <c r="I19" s="8"/>
      <c r="J19" s="8"/>
      <c r="K19" s="139"/>
    </row>
    <row r="20" customHeight="1" spans="1:11">
      <c r="A20" s="121"/>
      <c r="B20" s="153">
        <v>4</v>
      </c>
      <c r="C20" s="152" t="s">
        <v>21</v>
      </c>
      <c r="D20" s="8"/>
      <c r="E20" s="8"/>
      <c r="F20" s="8"/>
      <c r="G20" s="8"/>
      <c r="H20" s="8"/>
      <c r="I20" s="8"/>
      <c r="J20" s="8"/>
      <c r="K20" s="139"/>
    </row>
    <row r="21" customHeight="1" spans="1:11">
      <c r="A21" s="121"/>
      <c r="B21" s="151" t="s">
        <v>22</v>
      </c>
      <c r="C21" s="151"/>
      <c r="D21" s="8"/>
      <c r="E21" s="8"/>
      <c r="F21" s="8"/>
      <c r="G21" s="8"/>
      <c r="H21" s="8"/>
      <c r="I21" s="8"/>
      <c r="J21" s="8"/>
      <c r="K21" s="139"/>
    </row>
    <row r="22" customHeight="1" spans="1:11">
      <c r="A22" s="121"/>
      <c r="B22" s="8" t="s">
        <v>23</v>
      </c>
      <c r="C22" s="8"/>
      <c r="D22" s="8"/>
      <c r="E22" s="8"/>
      <c r="F22" s="8"/>
      <c r="G22" s="8"/>
      <c r="H22" s="8"/>
      <c r="I22" s="8"/>
      <c r="J22" s="8"/>
      <c r="K22" s="139"/>
    </row>
    <row r="23" customHeight="1" spans="1:11">
      <c r="A23" s="121"/>
      <c r="B23" s="8" t="s">
        <v>24</v>
      </c>
      <c r="C23" s="8"/>
      <c r="D23" s="8"/>
      <c r="E23" s="8"/>
      <c r="F23" s="8"/>
      <c r="G23" s="8"/>
      <c r="H23" s="8"/>
      <c r="I23" s="8"/>
      <c r="J23" s="8"/>
      <c r="K23" s="139"/>
    </row>
    <row r="24" ht="8.1" customHeight="1" spans="1:11">
      <c r="A24" s="121"/>
      <c r="B24" s="30"/>
      <c r="C24" s="30"/>
      <c r="D24" s="8"/>
      <c r="E24" s="8"/>
      <c r="F24" s="8"/>
      <c r="G24" s="8"/>
      <c r="H24" s="8"/>
      <c r="I24" s="8"/>
      <c r="J24" s="8"/>
      <c r="K24" s="139"/>
    </row>
    <row r="25" ht="39.95" customHeight="1" spans="1:11">
      <c r="A25" s="121"/>
      <c r="B25" s="154" t="s">
        <v>25</v>
      </c>
      <c r="C25" s="154"/>
      <c r="D25" s="154"/>
      <c r="E25" s="154"/>
      <c r="F25" s="154"/>
      <c r="G25" s="154"/>
      <c r="H25" s="154"/>
      <c r="I25" s="154"/>
      <c r="J25" s="154"/>
      <c r="K25" s="139"/>
    </row>
    <row r="26" customHeight="1" spans="1:11">
      <c r="A26" s="121"/>
      <c r="B26" s="30"/>
      <c r="C26" s="30"/>
      <c r="D26" s="8"/>
      <c r="E26" s="8"/>
      <c r="F26" s="8"/>
      <c r="G26" s="8"/>
      <c r="H26" s="8"/>
      <c r="I26" s="8"/>
      <c r="J26" s="8"/>
      <c r="K26" s="139"/>
    </row>
    <row r="27" customHeight="1" spans="1:11">
      <c r="A27" s="121"/>
      <c r="B27" s="30"/>
      <c r="C27" s="30"/>
      <c r="D27" s="8"/>
      <c r="E27" s="8"/>
      <c r="F27" s="8"/>
      <c r="G27" s="8"/>
      <c r="H27" s="155" t="s">
        <v>26</v>
      </c>
      <c r="I27" s="8"/>
      <c r="J27" s="8"/>
      <c r="K27" s="139"/>
    </row>
    <row r="28" customHeight="1" spans="1:11">
      <c r="A28" s="121"/>
      <c r="B28" s="75"/>
      <c r="C28" s="75" t="s">
        <v>27</v>
      </c>
      <c r="D28" s="75"/>
      <c r="E28" s="8"/>
      <c r="F28" s="8"/>
      <c r="G28" s="8"/>
      <c r="H28" s="75" t="s">
        <v>28</v>
      </c>
      <c r="I28" s="75"/>
      <c r="J28" s="8"/>
      <c r="K28" s="139"/>
    </row>
    <row r="29" customHeight="1" spans="1:11">
      <c r="A29" s="121"/>
      <c r="B29" s="155"/>
      <c r="C29" s="75" t="s">
        <v>29</v>
      </c>
      <c r="D29" s="75"/>
      <c r="E29" s="126"/>
      <c r="F29" s="126"/>
      <c r="G29" s="126"/>
      <c r="H29" s="75" t="s">
        <v>30</v>
      </c>
      <c r="I29" s="75"/>
      <c r="J29" s="126"/>
      <c r="K29" s="139"/>
    </row>
    <row r="30" customHeight="1" spans="1:11">
      <c r="A30" s="121"/>
      <c r="B30" s="126"/>
      <c r="C30" s="126"/>
      <c r="D30" s="126"/>
      <c r="E30" s="126"/>
      <c r="F30" s="126"/>
      <c r="G30" s="126"/>
      <c r="H30" s="126"/>
      <c r="I30" s="126"/>
      <c r="J30" s="126"/>
      <c r="K30" s="139"/>
    </row>
    <row r="31" customHeight="1" spans="1:11">
      <c r="A31" s="121"/>
      <c r="B31" s="126"/>
      <c r="C31" s="126"/>
      <c r="D31" s="126"/>
      <c r="E31" s="126"/>
      <c r="F31" s="126"/>
      <c r="G31" s="126"/>
      <c r="H31" s="126"/>
      <c r="I31" s="126"/>
      <c r="J31" s="126"/>
      <c r="K31" s="139"/>
    </row>
    <row r="32" customHeight="1" spans="1:11">
      <c r="A32" s="121"/>
      <c r="B32" s="126"/>
      <c r="C32" s="16" t="s">
        <v>31</v>
      </c>
      <c r="D32" s="16"/>
      <c r="E32" s="126"/>
      <c r="F32" s="126"/>
      <c r="G32" s="126"/>
      <c r="H32" s="16" t="s">
        <v>31</v>
      </c>
      <c r="I32" s="16"/>
      <c r="J32" s="126"/>
      <c r="K32" s="139"/>
    </row>
    <row r="33" customHeight="1" spans="1:11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6"/>
    </row>
  </sheetData>
  <sheetProtection selectLockedCells="1" selectUnlockedCells="1"/>
  <mergeCells count="18">
    <mergeCell ref="D1:F1"/>
    <mergeCell ref="G1:J1"/>
    <mergeCell ref="D2:F2"/>
    <mergeCell ref="D3:F3"/>
    <mergeCell ref="G3:J3"/>
    <mergeCell ref="D4:F4"/>
    <mergeCell ref="E7:H7"/>
    <mergeCell ref="B25:J25"/>
    <mergeCell ref="C28:D28"/>
    <mergeCell ref="H28:I28"/>
    <mergeCell ref="C29:D29"/>
    <mergeCell ref="H29:I29"/>
    <mergeCell ref="C32:D32"/>
    <mergeCell ref="H32:I32"/>
    <mergeCell ref="B7:B8"/>
    <mergeCell ref="I7:I8"/>
    <mergeCell ref="J7:J8"/>
    <mergeCell ref="C7:D8"/>
  </mergeCells>
  <printOptions horizontalCentered="1"/>
  <pageMargins left="0.118055555555556" right="0" top="0.7875" bottom="0.39375" header="0.511805555555556" footer="0.511805555555556"/>
  <pageSetup paperSize="9" scale="82" orientation="landscape" useFirstPageNumber="1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zoomScale="85" zoomScaleNormal="85" zoomScaleSheetLayoutView="60" workbookViewId="0">
      <selection activeCell="I10" sqref="I10"/>
    </sheetView>
  </sheetViews>
  <sheetFormatPr defaultColWidth="11.5727272727273" defaultRowHeight="12.5"/>
  <cols>
    <col min="1" max="1" width="3.28181818181818" customWidth="1"/>
    <col min="2" max="2" width="5.70909090909091" customWidth="1"/>
    <col min="3" max="3" width="6.42727272727273" customWidth="1"/>
    <col min="4" max="4" width="27.2818181818182" customWidth="1"/>
    <col min="5" max="8" width="10.7090909090909" customWidth="1"/>
    <col min="9" max="10" width="13" customWidth="1"/>
    <col min="11" max="11" width="3.28181818181818" customWidth="1"/>
  </cols>
  <sheetData>
    <row r="1" ht="18" customHeight="1" spans="1:11">
      <c r="A1" s="115"/>
      <c r="B1" s="116"/>
      <c r="C1" s="116"/>
      <c r="D1" s="117" t="s">
        <v>0</v>
      </c>
      <c r="E1" s="117"/>
      <c r="F1" s="117"/>
      <c r="G1" s="117" t="s">
        <v>1</v>
      </c>
      <c r="H1" s="117"/>
      <c r="I1" s="117"/>
      <c r="J1" s="117"/>
      <c r="K1" s="118"/>
    </row>
    <row r="2" ht="18" customHeight="1" spans="1:11">
      <c r="A2" s="121"/>
      <c r="B2" s="122"/>
      <c r="C2" s="122"/>
      <c r="D2" s="123" t="s">
        <v>2</v>
      </c>
      <c r="E2" s="123"/>
      <c r="F2" s="123"/>
      <c r="G2" s="124"/>
      <c r="H2" s="11"/>
      <c r="I2" s="125"/>
      <c r="K2" s="127"/>
    </row>
    <row r="3" ht="18" customHeight="1" spans="1:11">
      <c r="A3" s="121"/>
      <c r="D3" s="123" t="s">
        <v>3</v>
      </c>
      <c r="E3" s="123"/>
      <c r="F3" s="123"/>
      <c r="G3" s="129" t="s">
        <v>4</v>
      </c>
      <c r="H3" s="129"/>
      <c r="I3" s="129"/>
      <c r="J3" s="129"/>
      <c r="K3" s="127"/>
    </row>
    <row r="4" ht="18" customHeight="1" spans="1:11">
      <c r="A4" s="131"/>
      <c r="B4" s="132"/>
      <c r="C4" s="132"/>
      <c r="D4" s="133"/>
      <c r="E4" s="133"/>
      <c r="F4" s="133"/>
      <c r="G4" s="133"/>
      <c r="H4" s="134"/>
      <c r="I4" s="135"/>
      <c r="J4" s="132"/>
      <c r="K4" s="136"/>
    </row>
    <row r="5" ht="21" customHeight="1" spans="1:11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38"/>
    </row>
    <row r="6" ht="17.25" customHeight="1" spans="1:11">
      <c r="A6" s="121"/>
      <c r="B6" s="126" t="s">
        <v>32</v>
      </c>
      <c r="C6" s="8"/>
      <c r="D6" s="126"/>
      <c r="E6" s="8"/>
      <c r="F6" s="8"/>
      <c r="G6" s="8"/>
      <c r="H6" s="8"/>
      <c r="I6" s="8"/>
      <c r="J6" s="8"/>
      <c r="K6" s="139"/>
    </row>
    <row r="7" ht="18" customHeight="1" spans="1:11">
      <c r="A7" s="121"/>
      <c r="B7" s="8"/>
      <c r="C7" s="8"/>
      <c r="D7" s="8"/>
      <c r="E7" s="8"/>
      <c r="F7" s="8"/>
      <c r="G7" s="8"/>
      <c r="H7" s="8"/>
      <c r="I7" s="8"/>
      <c r="J7" s="8"/>
      <c r="K7" s="139"/>
    </row>
    <row r="8" ht="15" customHeight="1" spans="1:11">
      <c r="A8" s="121"/>
      <c r="B8" s="157" t="s">
        <v>6</v>
      </c>
      <c r="C8" s="158" t="s">
        <v>7</v>
      </c>
      <c r="D8" s="158"/>
      <c r="E8" s="159" t="s">
        <v>8</v>
      </c>
      <c r="F8" s="159"/>
      <c r="G8" s="159"/>
      <c r="H8" s="159"/>
      <c r="I8" s="158" t="s">
        <v>33</v>
      </c>
      <c r="J8" s="160" t="s">
        <v>10</v>
      </c>
      <c r="K8" s="139"/>
    </row>
    <row r="9" ht="15" customHeight="1" spans="1:11">
      <c r="A9" s="121"/>
      <c r="B9" s="157"/>
      <c r="C9" s="158"/>
      <c r="D9" s="158"/>
      <c r="E9" s="140">
        <v>1</v>
      </c>
      <c r="F9" s="140">
        <v>2</v>
      </c>
      <c r="G9" s="140">
        <v>3</v>
      </c>
      <c r="H9" s="140">
        <v>4</v>
      </c>
      <c r="I9" s="158"/>
      <c r="J9" s="160"/>
      <c r="K9" s="139"/>
    </row>
    <row r="10" s="112" customFormat="1" ht="17.1" customHeight="1" spans="1:11">
      <c r="A10" s="141"/>
      <c r="B10" s="161">
        <v>1</v>
      </c>
      <c r="C10" s="162" t="s">
        <v>11</v>
      </c>
      <c r="D10" s="163"/>
      <c r="E10" s="164">
        <v>15</v>
      </c>
      <c r="F10" s="164">
        <v>20</v>
      </c>
      <c r="G10" s="164">
        <v>5</v>
      </c>
      <c r="H10" s="164">
        <v>10</v>
      </c>
      <c r="I10" s="164">
        <f>(1*15)+(2*20)+(3*5)+(4*10)</f>
        <v>110</v>
      </c>
      <c r="J10" s="165">
        <f>I10/50</f>
        <v>2.2</v>
      </c>
      <c r="K10" s="147"/>
    </row>
    <row r="11" s="112" customFormat="1" ht="17.1" customHeight="1" spans="1:11">
      <c r="A11" s="141"/>
      <c r="B11" s="166">
        <v>2</v>
      </c>
      <c r="C11" s="167" t="s">
        <v>12</v>
      </c>
      <c r="D11" s="168"/>
      <c r="E11" s="169"/>
      <c r="F11" s="169"/>
      <c r="G11" s="169"/>
      <c r="H11" s="169"/>
      <c r="I11" s="169"/>
      <c r="J11" s="170"/>
      <c r="K11" s="147"/>
    </row>
    <row r="12" s="112" customFormat="1" ht="17.1" customHeight="1" spans="1:11">
      <c r="A12" s="141"/>
      <c r="B12" s="166">
        <v>3</v>
      </c>
      <c r="C12" s="167" t="s">
        <v>13</v>
      </c>
      <c r="D12" s="168"/>
      <c r="E12" s="169"/>
      <c r="F12" s="169"/>
      <c r="G12" s="169"/>
      <c r="H12" s="169"/>
      <c r="I12" s="169"/>
      <c r="J12" s="170"/>
      <c r="K12" s="147"/>
    </row>
    <row r="13" s="112" customFormat="1" ht="17.1" customHeight="1" spans="1:11">
      <c r="A13" s="141"/>
      <c r="B13" s="166">
        <v>4</v>
      </c>
      <c r="C13" s="171" t="s">
        <v>14</v>
      </c>
      <c r="D13" s="172"/>
      <c r="E13" s="173"/>
      <c r="F13" s="173"/>
      <c r="G13" s="173"/>
      <c r="H13" s="173"/>
      <c r="I13" s="173"/>
      <c r="J13" s="174"/>
      <c r="K13" s="147"/>
    </row>
    <row r="14" s="112" customFormat="1" ht="17.1" customHeight="1" spans="1:11">
      <c r="A14" s="141"/>
      <c r="B14" s="166"/>
      <c r="C14" s="171" t="s">
        <v>15</v>
      </c>
      <c r="D14" s="172"/>
      <c r="E14" s="173"/>
      <c r="F14" s="173"/>
      <c r="G14" s="173"/>
      <c r="H14" s="173"/>
      <c r="I14" s="173"/>
      <c r="J14" s="174"/>
      <c r="K14" s="147"/>
    </row>
    <row r="15" s="112" customFormat="1" ht="17.1" customHeight="1" spans="1:11">
      <c r="A15" s="141"/>
      <c r="B15" s="175">
        <v>5</v>
      </c>
      <c r="C15" s="176" t="s">
        <v>16</v>
      </c>
      <c r="D15" s="177"/>
      <c r="E15" s="178"/>
      <c r="F15" s="178"/>
      <c r="G15" s="178"/>
      <c r="H15" s="178"/>
      <c r="I15" s="178"/>
      <c r="J15" s="179"/>
      <c r="K15" s="147"/>
    </row>
    <row r="16" spans="1:11">
      <c r="A16" s="121"/>
      <c r="B16" s="8"/>
      <c r="C16" s="8"/>
      <c r="D16" s="8"/>
      <c r="E16" s="8"/>
      <c r="F16" s="8"/>
      <c r="G16" s="8"/>
      <c r="H16" s="8"/>
      <c r="I16" s="8"/>
      <c r="J16" s="8"/>
      <c r="K16" s="139"/>
    </row>
    <row r="17" ht="13" spans="1:11">
      <c r="A17" s="121"/>
      <c r="B17" s="151" t="s">
        <v>17</v>
      </c>
      <c r="C17" s="151"/>
      <c r="D17" s="8"/>
      <c r="E17" s="8"/>
      <c r="F17" s="8"/>
      <c r="G17" s="8"/>
      <c r="H17" s="8"/>
      <c r="I17" s="8"/>
      <c r="J17" s="8"/>
      <c r="K17" s="139"/>
    </row>
    <row r="18" spans="1:11">
      <c r="A18" s="121"/>
      <c r="B18" s="8">
        <v>1</v>
      </c>
      <c r="C18" s="152" t="s">
        <v>18</v>
      </c>
      <c r="D18" s="8"/>
      <c r="E18" s="8"/>
      <c r="F18" s="8"/>
      <c r="G18" s="8"/>
      <c r="H18" s="8"/>
      <c r="I18" s="8"/>
      <c r="J18" s="8"/>
      <c r="K18" s="139"/>
    </row>
    <row r="19" spans="1:11">
      <c r="A19" s="121"/>
      <c r="B19" s="8">
        <v>2</v>
      </c>
      <c r="C19" s="152" t="s">
        <v>19</v>
      </c>
      <c r="D19" s="8"/>
      <c r="E19" s="8"/>
      <c r="F19" s="8"/>
      <c r="G19" s="8"/>
      <c r="H19" s="8"/>
      <c r="I19" s="8"/>
      <c r="J19" s="8"/>
      <c r="K19" s="139"/>
    </row>
    <row r="20" spans="1:11">
      <c r="A20" s="121"/>
      <c r="B20" s="153">
        <v>3</v>
      </c>
      <c r="C20" s="152" t="s">
        <v>20</v>
      </c>
      <c r="D20" s="8"/>
      <c r="E20" s="8"/>
      <c r="F20" s="8"/>
      <c r="G20" s="8"/>
      <c r="H20" s="8"/>
      <c r="I20" s="8"/>
      <c r="J20" s="8"/>
      <c r="K20" s="139"/>
    </row>
    <row r="21" spans="1:11">
      <c r="A21" s="121"/>
      <c r="B21" s="153">
        <v>4</v>
      </c>
      <c r="C21" s="152" t="s">
        <v>21</v>
      </c>
      <c r="D21" s="8"/>
      <c r="E21" s="8"/>
      <c r="F21" s="8"/>
      <c r="G21" s="8"/>
      <c r="H21" s="8"/>
      <c r="I21" s="8"/>
      <c r="J21" s="8"/>
      <c r="K21" s="139"/>
    </row>
    <row r="22" ht="13" spans="1:11">
      <c r="A22" s="121"/>
      <c r="B22" s="180" t="s">
        <v>22</v>
      </c>
      <c r="C22" s="180"/>
      <c r="D22" s="8"/>
      <c r="E22" s="8"/>
      <c r="F22" s="8"/>
      <c r="G22" s="8"/>
      <c r="H22" s="8"/>
      <c r="I22" s="8"/>
      <c r="J22" s="8"/>
      <c r="K22" s="139"/>
    </row>
    <row r="23" spans="1:11">
      <c r="A23" s="121"/>
      <c r="B23" s="181" t="s">
        <v>23</v>
      </c>
      <c r="C23" s="181"/>
      <c r="D23" s="8"/>
      <c r="E23" s="8"/>
      <c r="F23" s="8"/>
      <c r="G23" s="8"/>
      <c r="H23" s="8"/>
      <c r="I23" s="8"/>
      <c r="J23" s="8"/>
      <c r="K23" s="139"/>
    </row>
    <row r="24" spans="1:11">
      <c r="A24" s="121"/>
      <c r="B24" s="181" t="s">
        <v>24</v>
      </c>
      <c r="C24" s="181"/>
      <c r="D24" s="8"/>
      <c r="E24" s="8"/>
      <c r="F24" s="8"/>
      <c r="G24" s="8"/>
      <c r="H24" s="8"/>
      <c r="I24" s="8"/>
      <c r="J24" s="8"/>
      <c r="K24" s="139"/>
    </row>
    <row r="25" ht="14.75" spans="1:11">
      <c r="A25" s="121"/>
      <c r="B25" s="182"/>
      <c r="C25" s="182"/>
      <c r="D25" s="8"/>
      <c r="E25" s="8"/>
      <c r="F25" s="8"/>
      <c r="G25" s="8"/>
      <c r="H25" s="8"/>
      <c r="I25" s="8"/>
      <c r="J25" s="8"/>
      <c r="K25" s="139"/>
    </row>
    <row r="26" ht="55.5" customHeight="1" spans="1:11">
      <c r="A26" s="121"/>
      <c r="B26" s="154" t="s">
        <v>25</v>
      </c>
      <c r="C26" s="154"/>
      <c r="D26" s="154"/>
      <c r="E26" s="154"/>
      <c r="F26" s="154"/>
      <c r="G26" s="154"/>
      <c r="H26" s="154"/>
      <c r="I26" s="154"/>
      <c r="J26" s="154"/>
      <c r="K26" s="139"/>
    </row>
    <row r="27" ht="14" spans="1:11">
      <c r="A27" s="121"/>
      <c r="B27" s="182"/>
      <c r="C27" s="182"/>
      <c r="D27" s="8"/>
      <c r="E27" s="8"/>
      <c r="F27" s="8"/>
      <c r="G27" s="8"/>
      <c r="H27" s="8"/>
      <c r="I27" s="8"/>
      <c r="J27" s="8"/>
      <c r="K27" s="139"/>
    </row>
    <row r="28" ht="14" spans="1:11">
      <c r="A28" s="121"/>
      <c r="B28" s="182" t="s">
        <v>34</v>
      </c>
      <c r="C28" s="182"/>
      <c r="D28" s="8"/>
      <c r="E28" s="8"/>
      <c r="F28" s="8"/>
      <c r="G28" s="8"/>
      <c r="H28" s="182" t="s">
        <v>34</v>
      </c>
      <c r="I28" s="8"/>
      <c r="J28" s="8"/>
      <c r="K28" s="139"/>
    </row>
    <row r="29" ht="14" spans="1:11">
      <c r="A29" s="121"/>
      <c r="B29" s="182" t="s">
        <v>35</v>
      </c>
      <c r="C29" s="182"/>
      <c r="D29" s="8"/>
      <c r="E29" s="8"/>
      <c r="F29" s="8"/>
      <c r="G29" s="8"/>
      <c r="H29" s="30" t="s">
        <v>36</v>
      </c>
      <c r="I29" s="8"/>
      <c r="J29" s="8"/>
      <c r="K29" s="139"/>
    </row>
    <row r="30" spans="1:11">
      <c r="A30" s="121"/>
      <c r="K30" s="139"/>
    </row>
    <row r="31" spans="1:11">
      <c r="A31" s="121"/>
      <c r="K31" s="139"/>
    </row>
    <row r="32" spans="1:11">
      <c r="A32" s="121"/>
      <c r="K32" s="139"/>
    </row>
    <row r="33" spans="1:11">
      <c r="A33" s="121"/>
      <c r="K33" s="139"/>
    </row>
    <row r="34" spans="1:11">
      <c r="A34" s="131"/>
      <c r="B34" s="132"/>
      <c r="C34" s="132"/>
      <c r="D34" s="132"/>
      <c r="E34" s="132"/>
      <c r="F34" s="132"/>
      <c r="G34" s="132"/>
      <c r="H34" s="132"/>
      <c r="I34" s="132"/>
      <c r="J34" s="132"/>
      <c r="K34" s="136"/>
    </row>
  </sheetData>
  <sheetProtection selectLockedCells="1" selectUnlockedCells="1"/>
  <mergeCells count="12">
    <mergeCell ref="D1:F1"/>
    <mergeCell ref="G1:J1"/>
    <mergeCell ref="D2:F2"/>
    <mergeCell ref="D3:F3"/>
    <mergeCell ref="G3:J3"/>
    <mergeCell ref="D4:F4"/>
    <mergeCell ref="E8:H8"/>
    <mergeCell ref="B26:J26"/>
    <mergeCell ref="B8:B9"/>
    <mergeCell ref="I8:I9"/>
    <mergeCell ref="J8:J9"/>
    <mergeCell ref="C8:D9"/>
  </mergeCells>
  <printOptions horizontalCentered="1"/>
  <pageMargins left="0.196527777777778" right="0.118055555555556" top="0.7875" bottom="0.590277777777778" header="0.511805555555556" footer="0.511805555555556"/>
  <pageSetup paperSize="9" orientation="landscape" useFirstPageNumber="1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63"/>
  <sheetViews>
    <sheetView zoomScale="85" zoomScaleNormal="85" zoomScaleSheetLayoutView="60" topLeftCell="A4" workbookViewId="0">
      <selection activeCell="D1" sqref="D1:F1"/>
    </sheetView>
  </sheetViews>
  <sheetFormatPr defaultColWidth="11.5727272727273" defaultRowHeight="18" customHeight="1"/>
  <cols>
    <col min="1" max="1" width="3.28181818181818" customWidth="1"/>
    <col min="2" max="2" width="6.70909090909091" customWidth="1"/>
    <col min="3" max="3" width="14.7090909090909" customWidth="1"/>
    <col min="4" max="4" width="30.7090909090909" customWidth="1"/>
    <col min="5" max="10" width="17.7090909090909" customWidth="1"/>
    <col min="11" max="11" width="3.28181818181818" customWidth="1"/>
    <col min="13" max="17" width="5.13636363636364" customWidth="1"/>
    <col min="18" max="18" width="5.13636363636364" style="113" customWidth="1"/>
    <col min="19" max="19" width="5.13636363636364" style="114" customWidth="1"/>
    <col min="20" max="21" width="5.13636363636364" customWidth="1"/>
    <col min="22" max="22" width="5.13636363636364" style="113" customWidth="1"/>
    <col min="23" max="23" width="5.13636363636364" style="114" customWidth="1"/>
    <col min="24" max="25" width="5.13636363636364" customWidth="1"/>
    <col min="26" max="26" width="5.13636363636364" style="113" customWidth="1"/>
    <col min="27" max="27" width="5.13636363636364" style="114" customWidth="1"/>
    <col min="28" max="29" width="5.13636363636364" customWidth="1"/>
    <col min="30" max="30" width="5.13636363636364" style="113" customWidth="1"/>
    <col min="31" max="31" width="5.13636363636364" style="114" customWidth="1"/>
    <col min="32" max="36" width="5.13636363636364" customWidth="1"/>
  </cols>
  <sheetData>
    <row r="1" customHeight="1" spans="1:36">
      <c r="A1" s="115"/>
      <c r="B1" s="116"/>
      <c r="C1" s="116"/>
      <c r="D1" s="117" t="s">
        <v>0</v>
      </c>
      <c r="E1" s="117"/>
      <c r="F1" s="117"/>
      <c r="G1" s="117" t="s">
        <v>1</v>
      </c>
      <c r="H1" s="117"/>
      <c r="I1" s="117"/>
      <c r="J1" s="117"/>
      <c r="K1" s="118"/>
      <c r="L1" s="118"/>
      <c r="M1" s="118"/>
      <c r="O1" s="119">
        <v>1</v>
      </c>
      <c r="P1" s="119"/>
      <c r="Q1" s="119"/>
      <c r="R1" s="119"/>
      <c r="S1" s="120">
        <v>2</v>
      </c>
      <c r="T1" s="120"/>
      <c r="U1" s="120"/>
      <c r="V1" s="120"/>
      <c r="W1" s="120">
        <v>3</v>
      </c>
      <c r="X1" s="120"/>
      <c r="Y1" s="120"/>
      <c r="Z1" s="120"/>
      <c r="AA1" s="120">
        <v>4</v>
      </c>
      <c r="AB1" s="120"/>
      <c r="AC1" s="120"/>
      <c r="AD1" s="120"/>
      <c r="AE1" s="120">
        <v>5</v>
      </c>
      <c r="AF1" s="120"/>
      <c r="AG1" s="120"/>
      <c r="AH1" s="120"/>
    </row>
    <row r="2" customHeight="1" spans="1:36">
      <c r="A2" s="121"/>
      <c r="B2" s="122"/>
      <c r="C2" s="122"/>
      <c r="D2" s="123" t="s">
        <v>2</v>
      </c>
      <c r="E2" s="123"/>
      <c r="F2" s="123"/>
      <c r="G2" s="124"/>
      <c r="H2" s="11"/>
      <c r="I2" s="125"/>
      <c r="J2" s="126"/>
      <c r="K2" s="127"/>
      <c r="L2" s="127"/>
      <c r="M2" s="127"/>
      <c r="O2" s="119">
        <v>1</v>
      </c>
      <c r="P2" s="119">
        <v>2</v>
      </c>
      <c r="Q2" s="119">
        <v>3</v>
      </c>
      <c r="R2" s="128">
        <v>4</v>
      </c>
      <c r="S2" s="120">
        <v>1</v>
      </c>
      <c r="T2" s="119">
        <v>2</v>
      </c>
      <c r="U2" s="119">
        <v>3</v>
      </c>
      <c r="V2" s="128">
        <v>4</v>
      </c>
      <c r="W2" s="120">
        <v>1</v>
      </c>
      <c r="X2" s="119">
        <v>2</v>
      </c>
      <c r="Y2" s="119">
        <v>3</v>
      </c>
      <c r="Z2" s="128">
        <v>4</v>
      </c>
      <c r="AA2" s="120">
        <v>1</v>
      </c>
      <c r="AB2" s="119">
        <v>2</v>
      </c>
      <c r="AC2" s="119">
        <v>3</v>
      </c>
      <c r="AD2" s="128">
        <v>4</v>
      </c>
      <c r="AE2" s="120">
        <v>1</v>
      </c>
      <c r="AF2" s="119">
        <v>2</v>
      </c>
      <c r="AG2" s="119">
        <v>3</v>
      </c>
      <c r="AH2" s="119">
        <v>4</v>
      </c>
    </row>
    <row r="3" customHeight="1" spans="1:36">
      <c r="A3" s="121"/>
      <c r="B3" s="126"/>
      <c r="C3" s="126"/>
      <c r="D3" s="123" t="s">
        <v>3</v>
      </c>
      <c r="E3" s="123"/>
      <c r="F3" s="123"/>
      <c r="G3" s="129" t="s">
        <v>4</v>
      </c>
      <c r="H3" s="129"/>
      <c r="I3" s="129"/>
      <c r="J3" s="129"/>
      <c r="K3" s="127"/>
      <c r="L3" s="127"/>
      <c r="M3" s="130">
        <v>1</v>
      </c>
      <c r="N3">
        <v>1</v>
      </c>
      <c r="Q3">
        <v>1</v>
      </c>
      <c r="U3">
        <v>1</v>
      </c>
      <c r="Y3">
        <v>1</v>
      </c>
      <c r="AC3">
        <v>1</v>
      </c>
      <c r="AG3">
        <v>1</v>
      </c>
      <c r="AJ3">
        <f t="shared" ref="AJ3:AJ66" si="0">SUM(O3:AH3)</f>
        <v>5</v>
      </c>
    </row>
    <row r="4" customHeight="1" spans="1:36">
      <c r="A4" s="131"/>
      <c r="B4" s="132"/>
      <c r="C4" s="132"/>
      <c r="D4" s="133"/>
      <c r="E4" s="133"/>
      <c r="F4" s="133"/>
      <c r="G4" s="133"/>
      <c r="H4" s="134"/>
      <c r="I4" s="135"/>
      <c r="J4" s="132"/>
      <c r="K4" s="136"/>
      <c r="L4" s="136"/>
      <c r="M4" s="137">
        <v>2</v>
      </c>
      <c r="N4">
        <v>2</v>
      </c>
      <c r="Q4">
        <v>1</v>
      </c>
      <c r="U4">
        <v>1</v>
      </c>
      <c r="Y4">
        <v>1</v>
      </c>
      <c r="AC4">
        <v>1</v>
      </c>
      <c r="AG4">
        <v>1</v>
      </c>
      <c r="AJ4">
        <f t="shared" si="0"/>
        <v>5</v>
      </c>
    </row>
    <row r="5" ht="30" customHeight="1" spans="1:36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38"/>
      <c r="L5" s="138"/>
      <c r="M5" s="130">
        <v>3</v>
      </c>
      <c r="N5">
        <v>3</v>
      </c>
      <c r="Q5">
        <v>1</v>
      </c>
      <c r="U5">
        <v>1</v>
      </c>
      <c r="Y5">
        <v>1</v>
      </c>
      <c r="AB5">
        <v>1</v>
      </c>
      <c r="AG5">
        <v>1</v>
      </c>
      <c r="AJ5">
        <f t="shared" si="0"/>
        <v>5</v>
      </c>
    </row>
    <row r="6" customHeight="1" spans="1:36">
      <c r="A6" s="121"/>
      <c r="B6" s="126" t="s">
        <v>5</v>
      </c>
      <c r="C6" s="8"/>
      <c r="D6" s="126"/>
      <c r="E6" s="8"/>
      <c r="F6" s="8"/>
      <c r="G6" s="8"/>
      <c r="H6" s="8"/>
      <c r="I6" s="8"/>
      <c r="J6" s="8"/>
      <c r="K6" s="139"/>
      <c r="L6" s="139"/>
      <c r="M6" s="137">
        <v>4</v>
      </c>
      <c r="N6">
        <v>4</v>
      </c>
      <c r="R6" s="113">
        <v>1</v>
      </c>
      <c r="T6" s="126"/>
      <c r="V6" s="113">
        <v>1</v>
      </c>
      <c r="X6" s="126"/>
      <c r="Z6" s="113">
        <v>1</v>
      </c>
      <c r="AB6" s="126"/>
      <c r="AD6" s="113">
        <v>1</v>
      </c>
      <c r="AF6" s="126"/>
      <c r="AH6">
        <v>1</v>
      </c>
      <c r="AJ6">
        <f t="shared" si="0"/>
        <v>5</v>
      </c>
    </row>
    <row r="7" customHeight="1" spans="1:36">
      <c r="A7" s="121"/>
      <c r="B7" s="140" t="s">
        <v>6</v>
      </c>
      <c r="C7" s="140" t="s">
        <v>7</v>
      </c>
      <c r="D7" s="140"/>
      <c r="E7" s="140" t="s">
        <v>8</v>
      </c>
      <c r="F7" s="140"/>
      <c r="G7" s="140"/>
      <c r="H7" s="140"/>
      <c r="I7" s="140" t="s">
        <v>9</v>
      </c>
      <c r="J7" s="140" t="s">
        <v>10</v>
      </c>
      <c r="K7" s="139"/>
      <c r="L7" s="139"/>
      <c r="M7" s="130">
        <v>5</v>
      </c>
      <c r="N7">
        <v>5</v>
      </c>
      <c r="Q7">
        <v>1</v>
      </c>
      <c r="V7" s="113">
        <v>1</v>
      </c>
      <c r="Z7" s="113">
        <v>1</v>
      </c>
      <c r="AC7">
        <v>1</v>
      </c>
      <c r="AG7">
        <v>1</v>
      </c>
      <c r="AJ7">
        <f t="shared" si="0"/>
        <v>5</v>
      </c>
    </row>
    <row r="8" customHeight="1" spans="1:36">
      <c r="A8" s="121"/>
      <c r="B8" s="140"/>
      <c r="C8" s="140"/>
      <c r="D8" s="140"/>
      <c r="E8" s="140">
        <v>1</v>
      </c>
      <c r="F8" s="140">
        <v>2</v>
      </c>
      <c r="G8" s="140">
        <v>3</v>
      </c>
      <c r="H8" s="140">
        <v>4</v>
      </c>
      <c r="I8" s="140"/>
      <c r="J8" s="140"/>
      <c r="K8" s="139"/>
      <c r="L8" s="139"/>
      <c r="M8" s="137">
        <v>6</v>
      </c>
      <c r="N8">
        <v>6</v>
      </c>
      <c r="R8" s="113">
        <v>1</v>
      </c>
      <c r="U8">
        <v>1</v>
      </c>
      <c r="Y8">
        <v>1</v>
      </c>
      <c r="AC8">
        <v>1</v>
      </c>
      <c r="AF8">
        <v>1</v>
      </c>
      <c r="AJ8">
        <f t="shared" si="0"/>
        <v>5</v>
      </c>
    </row>
    <row r="9" s="112" customFormat="1" customHeight="1" spans="1:36">
      <c r="A9" s="141"/>
      <c r="B9" s="142">
        <v>1</v>
      </c>
      <c r="C9" s="143" t="s">
        <v>11</v>
      </c>
      <c r="D9" s="144"/>
      <c r="E9" s="145">
        <v>0</v>
      </c>
      <c r="F9" s="145">
        <f>2*15</f>
        <v>30</v>
      </c>
      <c r="G9" s="145">
        <f>3*111</f>
        <v>333</v>
      </c>
      <c r="H9" s="145">
        <f>4*121</f>
        <v>484</v>
      </c>
      <c r="I9" s="142">
        <f>SUM(E9:H9)</f>
        <v>847</v>
      </c>
      <c r="J9" s="146">
        <f>I9/247</f>
        <v>3.42914979757085</v>
      </c>
      <c r="K9" s="147"/>
      <c r="L9" s="147"/>
      <c r="M9" s="130">
        <v>7</v>
      </c>
      <c r="N9">
        <v>7</v>
      </c>
      <c r="Q9" s="112">
        <v>1</v>
      </c>
      <c r="R9" s="148"/>
      <c r="S9" s="149"/>
      <c r="U9" s="112">
        <v>1</v>
      </c>
      <c r="V9" s="148"/>
      <c r="W9" s="149"/>
      <c r="Y9" s="112">
        <v>1</v>
      </c>
      <c r="Z9" s="148"/>
      <c r="AA9" s="149"/>
      <c r="AC9" s="112">
        <v>1</v>
      </c>
      <c r="AD9" s="148"/>
      <c r="AE9" s="149"/>
      <c r="AG9" s="112">
        <v>1</v>
      </c>
      <c r="AJ9">
        <f t="shared" si="0"/>
        <v>5</v>
      </c>
    </row>
    <row r="10" s="112" customFormat="1" customHeight="1" spans="1:36">
      <c r="A10" s="141"/>
      <c r="B10" s="142">
        <v>2</v>
      </c>
      <c r="C10" s="143" t="s">
        <v>12</v>
      </c>
      <c r="D10" s="144"/>
      <c r="E10" s="145">
        <v>0</v>
      </c>
      <c r="F10" s="145">
        <f>2*3</f>
        <v>6</v>
      </c>
      <c r="G10" s="145">
        <f>3*104</f>
        <v>312</v>
      </c>
      <c r="H10" s="145">
        <f>4*140</f>
        <v>560</v>
      </c>
      <c r="I10" s="142">
        <f>SUM(E10:H10)</f>
        <v>878</v>
      </c>
      <c r="J10" s="146">
        <f>I10/247</f>
        <v>3.55465587044534</v>
      </c>
      <c r="K10" s="147"/>
      <c r="L10" s="147"/>
      <c r="M10" s="137">
        <v>8</v>
      </c>
      <c r="N10">
        <v>8</v>
      </c>
      <c r="P10" s="112">
        <v>1</v>
      </c>
      <c r="R10" s="148"/>
      <c r="S10" s="149"/>
      <c r="V10" s="148">
        <v>1</v>
      </c>
      <c r="W10" s="149"/>
      <c r="Y10" s="112">
        <v>1</v>
      </c>
      <c r="Z10" s="148"/>
      <c r="AA10" s="149"/>
      <c r="AD10" s="148">
        <v>1</v>
      </c>
      <c r="AE10" s="149"/>
      <c r="AH10" s="112">
        <v>1</v>
      </c>
      <c r="AJ10">
        <f t="shared" si="0"/>
        <v>5</v>
      </c>
    </row>
    <row r="11" s="112" customFormat="1" customHeight="1" spans="1:36">
      <c r="A11" s="141"/>
      <c r="B11" s="142">
        <v>3</v>
      </c>
      <c r="C11" s="143" t="s">
        <v>13</v>
      </c>
      <c r="D11" s="144"/>
      <c r="E11" s="145">
        <v>0</v>
      </c>
      <c r="F11" s="145">
        <f>2*10</f>
        <v>20</v>
      </c>
      <c r="G11" s="145">
        <f>3*110</f>
        <v>330</v>
      </c>
      <c r="H11" s="145">
        <f>4*127</f>
        <v>508</v>
      </c>
      <c r="I11" s="142">
        <f>SUM(E11:H11)</f>
        <v>858</v>
      </c>
      <c r="J11" s="146">
        <f>I11/247</f>
        <v>3.47368421052632</v>
      </c>
      <c r="K11" s="147"/>
      <c r="L11" s="147"/>
      <c r="M11" s="130">
        <v>9</v>
      </c>
      <c r="N11">
        <v>9</v>
      </c>
      <c r="R11" s="148">
        <v>1</v>
      </c>
      <c r="S11" s="149"/>
      <c r="V11" s="148">
        <v>1</v>
      </c>
      <c r="W11" s="149"/>
      <c r="Y11" s="112">
        <v>1</v>
      </c>
      <c r="Z11" s="148"/>
      <c r="AA11" s="149"/>
      <c r="AD11" s="148">
        <v>1</v>
      </c>
      <c r="AE11" s="149"/>
      <c r="AH11" s="112">
        <v>1</v>
      </c>
      <c r="AJ11">
        <f t="shared" si="0"/>
        <v>5</v>
      </c>
    </row>
    <row r="12" s="112" customFormat="1" customHeight="1" spans="1:36">
      <c r="A12" s="141"/>
      <c r="B12" s="142">
        <v>4</v>
      </c>
      <c r="C12" s="143" t="s">
        <v>14</v>
      </c>
      <c r="D12" s="144"/>
      <c r="E12" s="145">
        <v>0</v>
      </c>
      <c r="F12" s="145">
        <f>2*12</f>
        <v>24</v>
      </c>
      <c r="G12" s="145">
        <f>3*115</f>
        <v>345</v>
      </c>
      <c r="H12" s="145">
        <f>4*120</f>
        <v>480</v>
      </c>
      <c r="I12" s="142">
        <f>SUM(E12:H12)</f>
        <v>849</v>
      </c>
      <c r="J12" s="146">
        <f>I12/247</f>
        <v>3.43724696356275</v>
      </c>
      <c r="K12" s="147"/>
      <c r="L12" s="147"/>
      <c r="M12" s="137">
        <v>10</v>
      </c>
      <c r="N12">
        <v>10</v>
      </c>
      <c r="Q12" s="112">
        <v>1</v>
      </c>
      <c r="R12" s="148"/>
      <c r="S12" s="149"/>
      <c r="V12" s="148">
        <v>1</v>
      </c>
      <c r="W12" s="149"/>
      <c r="Z12" s="148">
        <v>1</v>
      </c>
      <c r="AA12" s="149"/>
      <c r="AD12" s="148">
        <v>1</v>
      </c>
      <c r="AE12" s="149"/>
      <c r="AG12" s="112">
        <v>1</v>
      </c>
      <c r="AJ12">
        <f t="shared" si="0"/>
        <v>5</v>
      </c>
    </row>
    <row r="13" s="112" customFormat="1" customHeight="1" spans="1:36">
      <c r="A13" s="141"/>
      <c r="B13" s="142"/>
      <c r="C13" s="143" t="s">
        <v>15</v>
      </c>
      <c r="D13" s="144"/>
      <c r="E13" s="150"/>
      <c r="F13" s="150"/>
      <c r="G13" s="150"/>
      <c r="H13" s="150"/>
      <c r="I13" s="142"/>
      <c r="J13" s="146"/>
      <c r="K13" s="147"/>
      <c r="L13" s="147"/>
      <c r="M13" s="130">
        <v>11</v>
      </c>
      <c r="N13">
        <v>11</v>
      </c>
      <c r="R13" s="148">
        <v>1</v>
      </c>
      <c r="S13" s="149"/>
      <c r="V13" s="148">
        <v>1</v>
      </c>
      <c r="W13" s="149"/>
      <c r="Z13" s="148">
        <v>1</v>
      </c>
      <c r="AA13" s="149"/>
      <c r="AD13" s="148">
        <v>1</v>
      </c>
      <c r="AE13" s="149"/>
      <c r="AH13" s="112">
        <v>1</v>
      </c>
      <c r="AJ13">
        <f t="shared" si="0"/>
        <v>5</v>
      </c>
    </row>
    <row r="14" s="112" customFormat="1" customHeight="1" spans="1:36">
      <c r="A14" s="141"/>
      <c r="B14" s="142">
        <v>5</v>
      </c>
      <c r="C14" s="143" t="s">
        <v>16</v>
      </c>
      <c r="D14" s="144"/>
      <c r="E14" s="145">
        <v>0</v>
      </c>
      <c r="F14" s="145">
        <f>2*7</f>
        <v>14</v>
      </c>
      <c r="G14" s="145">
        <f>3*122</f>
        <v>366</v>
      </c>
      <c r="H14" s="145">
        <f>4*118</f>
        <v>472</v>
      </c>
      <c r="I14" s="142">
        <f>SUM(E14:H14)</f>
        <v>852</v>
      </c>
      <c r="J14" s="146">
        <f>I14/247</f>
        <v>3.44939271255061</v>
      </c>
      <c r="K14" s="147"/>
      <c r="L14" s="147"/>
      <c r="M14" s="137">
        <v>12</v>
      </c>
      <c r="N14">
        <v>12</v>
      </c>
      <c r="Q14" s="112">
        <v>1</v>
      </c>
      <c r="R14" s="148"/>
      <c r="S14" s="149"/>
      <c r="U14" s="112">
        <v>1</v>
      </c>
      <c r="V14" s="148"/>
      <c r="W14" s="149"/>
      <c r="Y14" s="112">
        <v>1</v>
      </c>
      <c r="Z14" s="148"/>
      <c r="AA14" s="149"/>
      <c r="AC14" s="112">
        <v>1</v>
      </c>
      <c r="AD14" s="148"/>
      <c r="AE14" s="149"/>
      <c r="AG14" s="112">
        <v>1</v>
      </c>
      <c r="AJ14">
        <f t="shared" si="0"/>
        <v>5</v>
      </c>
    </row>
    <row r="15" ht="8.1" customHeight="1" spans="1:36">
      <c r="A15" s="121"/>
      <c r="B15" s="8"/>
      <c r="C15" s="8"/>
      <c r="D15" s="8"/>
      <c r="E15" s="8"/>
      <c r="F15" s="8"/>
      <c r="G15" s="8"/>
      <c r="H15" s="8"/>
      <c r="I15" s="8"/>
      <c r="J15" s="8"/>
      <c r="K15" s="139"/>
      <c r="L15" s="139"/>
      <c r="M15" s="130">
        <v>13</v>
      </c>
      <c r="N15">
        <v>13</v>
      </c>
      <c r="Q15">
        <v>1</v>
      </c>
      <c r="V15" s="113">
        <v>1</v>
      </c>
      <c r="Y15">
        <v>1</v>
      </c>
      <c r="AC15">
        <v>1</v>
      </c>
      <c r="AH15">
        <v>1</v>
      </c>
      <c r="AJ15">
        <f t="shared" si="0"/>
        <v>5</v>
      </c>
    </row>
    <row r="16" customHeight="1" spans="1:36">
      <c r="A16" s="121"/>
      <c r="B16" s="151" t="s">
        <v>17</v>
      </c>
      <c r="C16" s="151"/>
      <c r="D16" s="8"/>
      <c r="E16" s="8"/>
      <c r="F16" s="8"/>
      <c r="G16" s="8"/>
      <c r="H16" s="8"/>
      <c r="I16" s="8"/>
      <c r="J16" s="8"/>
      <c r="K16" s="139"/>
      <c r="L16" s="139"/>
      <c r="M16" s="137">
        <v>14</v>
      </c>
      <c r="N16">
        <v>14</v>
      </c>
      <c r="Q16">
        <v>1</v>
      </c>
      <c r="U16">
        <v>1</v>
      </c>
      <c r="Y16">
        <v>1</v>
      </c>
      <c r="AC16">
        <v>1</v>
      </c>
      <c r="AG16">
        <v>1</v>
      </c>
      <c r="AJ16">
        <f t="shared" si="0"/>
        <v>5</v>
      </c>
    </row>
    <row r="17" customHeight="1" spans="1:36">
      <c r="A17" s="121"/>
      <c r="B17" s="8">
        <v>1</v>
      </c>
      <c r="C17" s="152" t="s">
        <v>18</v>
      </c>
      <c r="D17" s="8"/>
      <c r="E17" s="8"/>
      <c r="F17" s="8"/>
      <c r="G17" s="8"/>
      <c r="H17" s="8"/>
      <c r="I17" s="8"/>
      <c r="J17" s="8"/>
      <c r="K17" s="139"/>
      <c r="L17" s="139"/>
      <c r="M17" s="130">
        <v>15</v>
      </c>
      <c r="N17">
        <v>15</v>
      </c>
      <c r="R17" s="113">
        <v>1</v>
      </c>
      <c r="V17" s="113">
        <v>1</v>
      </c>
      <c r="Z17" s="113">
        <v>1</v>
      </c>
      <c r="AD17" s="113">
        <v>1</v>
      </c>
      <c r="AH17">
        <v>1</v>
      </c>
      <c r="AJ17">
        <f t="shared" si="0"/>
        <v>5</v>
      </c>
    </row>
    <row r="18" customHeight="1" spans="1:36">
      <c r="A18" s="121"/>
      <c r="B18" s="8">
        <v>2</v>
      </c>
      <c r="C18" s="152" t="s">
        <v>19</v>
      </c>
      <c r="D18" s="8"/>
      <c r="E18" s="8"/>
      <c r="F18" s="8"/>
      <c r="G18" s="8"/>
      <c r="H18" s="8"/>
      <c r="I18" s="8"/>
      <c r="J18" s="8"/>
      <c r="K18" s="139"/>
      <c r="L18" s="139"/>
      <c r="M18" s="137">
        <v>16</v>
      </c>
      <c r="N18">
        <v>16</v>
      </c>
      <c r="R18" s="113">
        <v>1</v>
      </c>
      <c r="V18" s="113">
        <v>1</v>
      </c>
      <c r="Y18">
        <v>1</v>
      </c>
      <c r="AD18" s="113">
        <v>1</v>
      </c>
      <c r="AH18">
        <v>1</v>
      </c>
      <c r="AJ18">
        <f t="shared" si="0"/>
        <v>5</v>
      </c>
    </row>
    <row r="19" customHeight="1" spans="1:36">
      <c r="A19" s="121"/>
      <c r="B19" s="153">
        <v>3</v>
      </c>
      <c r="C19" s="152" t="s">
        <v>20</v>
      </c>
      <c r="D19" s="8"/>
      <c r="E19" s="8"/>
      <c r="F19" s="8"/>
      <c r="G19" s="8"/>
      <c r="H19" s="8"/>
      <c r="I19" s="8"/>
      <c r="J19" s="8"/>
      <c r="K19" s="139"/>
      <c r="L19" s="139"/>
      <c r="M19" s="130">
        <v>17</v>
      </c>
      <c r="N19">
        <v>17</v>
      </c>
      <c r="Q19">
        <v>1</v>
      </c>
      <c r="V19" s="113">
        <v>1</v>
      </c>
      <c r="Z19" s="113">
        <v>1</v>
      </c>
      <c r="AD19" s="113">
        <v>1</v>
      </c>
      <c r="AH19">
        <v>1</v>
      </c>
      <c r="AJ19">
        <f t="shared" si="0"/>
        <v>5</v>
      </c>
    </row>
    <row r="20" customHeight="1" spans="1:36">
      <c r="A20" s="121"/>
      <c r="B20" s="153">
        <v>4</v>
      </c>
      <c r="C20" s="152" t="s">
        <v>21</v>
      </c>
      <c r="D20" s="8"/>
      <c r="E20" s="8"/>
      <c r="F20" s="8"/>
      <c r="G20" s="8"/>
      <c r="H20" s="8"/>
      <c r="I20" s="8"/>
      <c r="J20" s="8"/>
      <c r="K20" s="139"/>
      <c r="L20" s="139"/>
      <c r="M20" s="137">
        <v>18</v>
      </c>
      <c r="N20">
        <v>18</v>
      </c>
      <c r="P20" s="113">
        <v>1</v>
      </c>
      <c r="Q20" s="114"/>
      <c r="R20"/>
      <c r="S20"/>
      <c r="T20" s="113"/>
      <c r="U20" s="114">
        <v>1</v>
      </c>
      <c r="V20"/>
      <c r="W20"/>
      <c r="X20" s="113">
        <v>1</v>
      </c>
      <c r="Y20" s="114"/>
      <c r="Z20"/>
      <c r="AA20"/>
      <c r="AB20" s="113">
        <v>1</v>
      </c>
      <c r="AC20" s="114"/>
      <c r="AD20"/>
      <c r="AE20"/>
      <c r="AF20">
        <v>1</v>
      </c>
      <c r="AJ20">
        <f t="shared" si="0"/>
        <v>5</v>
      </c>
    </row>
    <row r="21" customHeight="1" spans="1:36">
      <c r="A21" s="121"/>
      <c r="B21" s="151" t="s">
        <v>22</v>
      </c>
      <c r="C21" s="151"/>
      <c r="D21" s="8"/>
      <c r="E21" s="8"/>
      <c r="F21" s="8"/>
      <c r="G21" s="8"/>
      <c r="H21" s="8"/>
      <c r="I21" s="8"/>
      <c r="J21" s="8"/>
      <c r="K21" s="139"/>
      <c r="L21" s="139"/>
      <c r="M21" s="130">
        <v>19</v>
      </c>
      <c r="N21">
        <v>19</v>
      </c>
      <c r="P21" s="113">
        <v>1</v>
      </c>
      <c r="Q21" s="114"/>
      <c r="R21"/>
      <c r="S21"/>
      <c r="T21" s="113">
        <v>1</v>
      </c>
      <c r="U21" s="114"/>
      <c r="V21"/>
      <c r="W21"/>
      <c r="X21" s="113"/>
      <c r="Y21" s="113">
        <v>1</v>
      </c>
      <c r="Z21"/>
      <c r="AA21"/>
      <c r="AB21" s="113">
        <v>1</v>
      </c>
      <c r="AC21" s="114"/>
      <c r="AD21"/>
      <c r="AE21"/>
      <c r="AF21">
        <v>1</v>
      </c>
      <c r="AJ21">
        <f t="shared" si="0"/>
        <v>5</v>
      </c>
    </row>
    <row r="22" customHeight="1" spans="1:36">
      <c r="A22" s="121"/>
      <c r="B22" s="8" t="s">
        <v>23</v>
      </c>
      <c r="C22" s="8"/>
      <c r="D22" s="8"/>
      <c r="E22" s="8"/>
      <c r="F22" s="8"/>
      <c r="G22" s="8"/>
      <c r="H22" s="8"/>
      <c r="I22" s="8"/>
      <c r="J22" s="8"/>
      <c r="K22" s="139"/>
      <c r="L22" s="139"/>
      <c r="M22" s="137">
        <v>20</v>
      </c>
      <c r="N22">
        <v>20</v>
      </c>
      <c r="P22" s="113">
        <v>1</v>
      </c>
      <c r="Q22" s="114"/>
      <c r="R22"/>
      <c r="S22"/>
      <c r="T22" s="113"/>
      <c r="U22" s="114">
        <v>1</v>
      </c>
      <c r="V22"/>
      <c r="W22"/>
      <c r="X22" s="113">
        <v>1</v>
      </c>
      <c r="Y22" s="114"/>
      <c r="Z22"/>
      <c r="AA22"/>
      <c r="AB22" s="113"/>
      <c r="AC22" s="114">
        <v>1</v>
      </c>
      <c r="AD22"/>
      <c r="AE22"/>
      <c r="AG22">
        <v>1</v>
      </c>
      <c r="AJ22">
        <f t="shared" si="0"/>
        <v>5</v>
      </c>
    </row>
    <row r="23" customHeight="1" spans="1:36">
      <c r="A23" s="121"/>
      <c r="B23" s="8" t="s">
        <v>24</v>
      </c>
      <c r="C23" s="8"/>
      <c r="D23" s="8"/>
      <c r="E23" s="8"/>
      <c r="F23" s="8"/>
      <c r="G23" s="8"/>
      <c r="H23" s="8"/>
      <c r="I23" s="8"/>
      <c r="J23" s="8"/>
      <c r="K23" s="139"/>
      <c r="L23" s="139"/>
      <c r="M23" s="130">
        <v>21</v>
      </c>
      <c r="N23">
        <v>21</v>
      </c>
      <c r="Q23" s="113">
        <v>1</v>
      </c>
      <c r="R23" s="114"/>
      <c r="S23"/>
      <c r="U23" s="113">
        <v>1</v>
      </c>
      <c r="V23" s="114"/>
      <c r="W23"/>
      <c r="X23">
        <v>1</v>
      </c>
      <c r="Y23" s="113"/>
      <c r="Z23" s="114"/>
      <c r="AA23"/>
      <c r="AC23" s="113">
        <v>1</v>
      </c>
      <c r="AD23" s="114"/>
      <c r="AE23"/>
      <c r="AG23">
        <v>1</v>
      </c>
      <c r="AJ23">
        <f t="shared" si="0"/>
        <v>5</v>
      </c>
    </row>
    <row r="24" ht="8.1" customHeight="1" spans="1:36">
      <c r="A24" s="121"/>
      <c r="B24" s="30"/>
      <c r="C24" s="30"/>
      <c r="D24" s="8"/>
      <c r="E24" s="8"/>
      <c r="F24" s="8"/>
      <c r="G24" s="8"/>
      <c r="H24" s="8"/>
      <c r="I24" s="8"/>
      <c r="J24" s="8"/>
      <c r="K24" s="139"/>
      <c r="L24" s="139"/>
      <c r="M24" s="137">
        <v>22</v>
      </c>
      <c r="N24">
        <v>22</v>
      </c>
      <c r="R24" s="113">
        <v>1</v>
      </c>
      <c r="V24" s="113">
        <v>1</v>
      </c>
      <c r="Y24">
        <v>1</v>
      </c>
      <c r="AD24" s="113">
        <v>1</v>
      </c>
      <c r="AH24">
        <v>1</v>
      </c>
      <c r="AJ24">
        <f t="shared" si="0"/>
        <v>5</v>
      </c>
    </row>
    <row r="25" ht="39.95" customHeight="1" spans="1:36">
      <c r="A25" s="121"/>
      <c r="B25" s="154" t="s">
        <v>25</v>
      </c>
      <c r="C25" s="154"/>
      <c r="D25" s="154"/>
      <c r="E25" s="154"/>
      <c r="F25" s="154"/>
      <c r="G25" s="154"/>
      <c r="H25" s="154"/>
      <c r="I25" s="154"/>
      <c r="J25" s="154"/>
      <c r="K25" s="139"/>
      <c r="L25" s="139"/>
      <c r="M25" s="130">
        <v>23</v>
      </c>
      <c r="N25">
        <v>23</v>
      </c>
      <c r="R25" s="113">
        <v>1</v>
      </c>
      <c r="V25" s="113">
        <v>1</v>
      </c>
      <c r="Z25" s="113">
        <v>1</v>
      </c>
      <c r="AD25" s="113">
        <v>1</v>
      </c>
      <c r="AH25">
        <v>1</v>
      </c>
      <c r="AJ25">
        <f t="shared" si="0"/>
        <v>5</v>
      </c>
    </row>
    <row r="26" customHeight="1" spans="1:36">
      <c r="A26" s="121"/>
      <c r="B26" s="30"/>
      <c r="C26" s="30"/>
      <c r="D26" s="8"/>
      <c r="E26" s="8"/>
      <c r="F26" s="8"/>
      <c r="G26" s="8"/>
      <c r="H26" s="8"/>
      <c r="I26" s="8"/>
      <c r="J26" s="8"/>
      <c r="K26" s="139"/>
      <c r="L26" s="139"/>
      <c r="M26" s="137">
        <v>24</v>
      </c>
      <c r="N26">
        <v>24</v>
      </c>
      <c r="Q26" s="113">
        <v>1</v>
      </c>
      <c r="R26" s="114"/>
      <c r="S26"/>
      <c r="U26" s="113">
        <v>1</v>
      </c>
      <c r="V26" s="114"/>
      <c r="W26"/>
      <c r="Y26" s="113">
        <v>1</v>
      </c>
      <c r="Z26" s="114"/>
      <c r="AA26"/>
      <c r="AC26" s="113">
        <v>1</v>
      </c>
      <c r="AD26" s="114"/>
      <c r="AE26"/>
      <c r="AG26">
        <v>1</v>
      </c>
      <c r="AJ26">
        <f t="shared" si="0"/>
        <v>5</v>
      </c>
    </row>
    <row r="27" customHeight="1" spans="1:36">
      <c r="A27" s="121"/>
      <c r="B27" s="30"/>
      <c r="C27" s="30"/>
      <c r="D27" s="8"/>
      <c r="E27" s="8"/>
      <c r="F27" s="8"/>
      <c r="G27" s="8"/>
      <c r="H27" s="75" t="s">
        <v>37</v>
      </c>
      <c r="I27" s="75"/>
      <c r="J27" s="8"/>
      <c r="K27" s="139"/>
      <c r="L27" s="139"/>
      <c r="M27" s="130">
        <v>25</v>
      </c>
      <c r="N27">
        <v>25</v>
      </c>
      <c r="R27" s="113">
        <v>1</v>
      </c>
      <c r="V27" s="113">
        <v>1</v>
      </c>
      <c r="Z27" s="113">
        <v>1</v>
      </c>
      <c r="AD27" s="113">
        <v>1</v>
      </c>
      <c r="AH27">
        <v>1</v>
      </c>
      <c r="AJ27">
        <f t="shared" si="0"/>
        <v>5</v>
      </c>
    </row>
    <row r="28" customHeight="1" spans="1:36">
      <c r="A28" s="121"/>
      <c r="B28" s="75"/>
      <c r="C28" s="75" t="s">
        <v>27</v>
      </c>
      <c r="D28" s="75"/>
      <c r="E28" s="8"/>
      <c r="F28" s="8"/>
      <c r="G28" s="8"/>
      <c r="H28" s="75" t="s">
        <v>28</v>
      </c>
      <c r="I28" s="75"/>
      <c r="J28" s="8"/>
      <c r="K28" s="139"/>
      <c r="L28" s="139"/>
      <c r="M28" s="137">
        <v>26</v>
      </c>
      <c r="N28">
        <v>26</v>
      </c>
      <c r="Q28" s="113">
        <v>1</v>
      </c>
      <c r="R28" s="114"/>
      <c r="S28"/>
      <c r="U28" s="113">
        <v>1</v>
      </c>
      <c r="V28" s="114"/>
      <c r="W28"/>
      <c r="Y28" s="113">
        <v>1</v>
      </c>
      <c r="Z28" s="114"/>
      <c r="AA28"/>
      <c r="AC28" s="113">
        <v>1</v>
      </c>
      <c r="AD28" s="114"/>
      <c r="AE28"/>
      <c r="AG28">
        <v>1</v>
      </c>
      <c r="AJ28">
        <f t="shared" si="0"/>
        <v>5</v>
      </c>
    </row>
    <row r="29" customHeight="1" spans="1:36">
      <c r="A29" s="121"/>
      <c r="B29" s="155"/>
      <c r="C29" s="75" t="s">
        <v>29</v>
      </c>
      <c r="D29" s="75"/>
      <c r="E29" s="126"/>
      <c r="F29" s="126"/>
      <c r="G29" s="126"/>
      <c r="H29" s="75" t="s">
        <v>30</v>
      </c>
      <c r="I29" s="75"/>
      <c r="J29" s="126"/>
      <c r="K29" s="139"/>
      <c r="L29" s="139"/>
      <c r="M29" s="130">
        <v>27</v>
      </c>
      <c r="N29">
        <v>27</v>
      </c>
      <c r="P29">
        <v>1</v>
      </c>
      <c r="Q29" s="113"/>
      <c r="R29" s="114"/>
      <c r="S29"/>
      <c r="U29" s="113">
        <v>1</v>
      </c>
      <c r="V29" s="114"/>
      <c r="W29"/>
      <c r="Y29" s="113">
        <v>1</v>
      </c>
      <c r="Z29" s="114"/>
      <c r="AA29"/>
      <c r="AC29" s="113">
        <v>1</v>
      </c>
      <c r="AD29" s="114"/>
      <c r="AE29"/>
      <c r="AG29">
        <v>1</v>
      </c>
      <c r="AJ29">
        <f t="shared" si="0"/>
        <v>5</v>
      </c>
    </row>
    <row r="30" customHeight="1" spans="1:36">
      <c r="A30" s="121"/>
      <c r="B30" s="126"/>
      <c r="C30" s="126"/>
      <c r="D30" s="126"/>
      <c r="E30" s="126"/>
      <c r="F30" s="126"/>
      <c r="G30" s="126"/>
      <c r="H30" s="126"/>
      <c r="I30" s="126"/>
      <c r="J30" s="126"/>
      <c r="K30" s="139"/>
      <c r="L30" s="139"/>
      <c r="M30" s="137">
        <v>28</v>
      </c>
      <c r="N30">
        <v>28</v>
      </c>
      <c r="R30" s="113">
        <v>1</v>
      </c>
      <c r="V30" s="113">
        <v>1</v>
      </c>
      <c r="Z30" s="113">
        <v>1</v>
      </c>
      <c r="AD30" s="113">
        <v>1</v>
      </c>
      <c r="AH30">
        <v>1</v>
      </c>
      <c r="AJ30">
        <f t="shared" si="0"/>
        <v>5</v>
      </c>
    </row>
    <row r="31" customHeight="1" spans="1:36">
      <c r="A31" s="121"/>
      <c r="B31" s="126"/>
      <c r="C31" s="126"/>
      <c r="D31" s="126"/>
      <c r="E31" s="126"/>
      <c r="F31" s="126"/>
      <c r="G31" s="126"/>
      <c r="H31" s="126"/>
      <c r="I31" s="126"/>
      <c r="J31" s="126"/>
      <c r="K31" s="139"/>
      <c r="L31" s="139"/>
      <c r="M31" s="130">
        <v>29</v>
      </c>
      <c r="N31">
        <v>29</v>
      </c>
      <c r="P31">
        <v>1</v>
      </c>
      <c r="Q31" s="113"/>
      <c r="R31" s="114"/>
      <c r="S31"/>
      <c r="U31" s="113"/>
      <c r="V31" s="114">
        <v>1</v>
      </c>
      <c r="W31"/>
      <c r="Y31" s="113">
        <v>1</v>
      </c>
      <c r="Z31" s="114"/>
      <c r="AA31"/>
      <c r="AC31" s="113">
        <v>1</v>
      </c>
      <c r="AD31" s="114"/>
      <c r="AE31"/>
      <c r="AG31">
        <v>1</v>
      </c>
      <c r="AJ31">
        <f t="shared" si="0"/>
        <v>5</v>
      </c>
    </row>
    <row r="32" customHeight="1" spans="1:36">
      <c r="A32" s="121"/>
      <c r="B32" s="126"/>
      <c r="C32" s="16" t="s">
        <v>38</v>
      </c>
      <c r="D32" s="16"/>
      <c r="E32" s="126"/>
      <c r="F32" s="126"/>
      <c r="G32" s="126"/>
      <c r="H32" s="16" t="s">
        <v>39</v>
      </c>
      <c r="I32" s="16"/>
      <c r="J32" s="126"/>
      <c r="K32" s="139"/>
      <c r="L32" s="139"/>
      <c r="M32" s="137">
        <v>30</v>
      </c>
      <c r="N32">
        <v>30</v>
      </c>
      <c r="Q32" s="113">
        <v>1</v>
      </c>
      <c r="R32" s="114"/>
      <c r="S32"/>
      <c r="U32" s="113">
        <v>1</v>
      </c>
      <c r="V32" s="114"/>
      <c r="W32"/>
      <c r="Y32" s="113">
        <v>1</v>
      </c>
      <c r="Z32" s="114"/>
      <c r="AA32"/>
      <c r="AC32" s="113">
        <v>1</v>
      </c>
      <c r="AD32" s="114"/>
      <c r="AE32"/>
      <c r="AG32">
        <v>1</v>
      </c>
      <c r="AJ32">
        <f t="shared" si="0"/>
        <v>5</v>
      </c>
    </row>
    <row r="33" customHeight="1" spans="1:36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6"/>
      <c r="L33" s="136"/>
      <c r="M33" s="130">
        <v>31</v>
      </c>
      <c r="N33">
        <v>31</v>
      </c>
      <c r="Q33" s="113">
        <v>1</v>
      </c>
      <c r="R33" s="114"/>
      <c r="S33"/>
      <c r="U33" s="113">
        <v>1</v>
      </c>
      <c r="V33" s="114"/>
      <c r="W33"/>
      <c r="Y33" s="113">
        <v>1</v>
      </c>
      <c r="Z33" s="114"/>
      <c r="AA33"/>
      <c r="AC33" s="113">
        <v>1</v>
      </c>
      <c r="AD33" s="114"/>
      <c r="AE33"/>
      <c r="AG33">
        <v>1</v>
      </c>
      <c r="AJ33">
        <f t="shared" si="0"/>
        <v>5</v>
      </c>
    </row>
    <row r="34" customHeight="1" spans="1:36">
      <c r="M34" s="137">
        <v>32</v>
      </c>
      <c r="N34">
        <v>32</v>
      </c>
      <c r="P34">
        <v>1</v>
      </c>
      <c r="Q34" s="113"/>
      <c r="R34" s="114"/>
      <c r="S34"/>
      <c r="U34" s="113">
        <v>1</v>
      </c>
      <c r="V34" s="114"/>
      <c r="W34"/>
      <c r="Y34" s="113">
        <v>1</v>
      </c>
      <c r="Z34" s="114"/>
      <c r="AA34"/>
      <c r="AC34" s="113">
        <v>1</v>
      </c>
      <c r="AD34" s="114"/>
      <c r="AE34"/>
      <c r="AG34">
        <v>1</v>
      </c>
      <c r="AJ34">
        <f t="shared" si="0"/>
        <v>5</v>
      </c>
    </row>
    <row r="35" customHeight="1" spans="1:36">
      <c r="M35" s="130">
        <v>33</v>
      </c>
      <c r="N35">
        <v>33</v>
      </c>
      <c r="Q35" s="113">
        <v>1</v>
      </c>
      <c r="R35" s="114"/>
      <c r="S35"/>
      <c r="U35" s="113">
        <v>1</v>
      </c>
      <c r="V35" s="114"/>
      <c r="W35"/>
      <c r="Y35" s="113">
        <v>1</v>
      </c>
      <c r="Z35" s="114"/>
      <c r="AA35"/>
      <c r="AC35" s="113">
        <v>1</v>
      </c>
      <c r="AD35" s="114"/>
      <c r="AE35"/>
      <c r="AG35">
        <v>1</v>
      </c>
      <c r="AJ35">
        <f t="shared" si="0"/>
        <v>5</v>
      </c>
    </row>
    <row r="36" customHeight="1" spans="1:36">
      <c r="M36" s="130">
        <v>34</v>
      </c>
      <c r="N36">
        <v>34</v>
      </c>
      <c r="Q36" s="113">
        <v>1</v>
      </c>
      <c r="R36" s="114"/>
      <c r="S36"/>
      <c r="U36" s="113"/>
      <c r="V36" s="114">
        <v>1</v>
      </c>
      <c r="W36"/>
      <c r="Y36" s="113">
        <v>1</v>
      </c>
      <c r="Z36" s="114"/>
      <c r="AA36"/>
      <c r="AC36" s="113">
        <v>1</v>
      </c>
      <c r="AD36" s="114"/>
      <c r="AE36"/>
      <c r="AG36">
        <v>1</v>
      </c>
      <c r="AJ36">
        <f t="shared" si="0"/>
        <v>5</v>
      </c>
    </row>
    <row r="37" customHeight="1" spans="1:36">
      <c r="M37" s="137">
        <v>35</v>
      </c>
      <c r="N37">
        <v>35</v>
      </c>
      <c r="Q37" s="113">
        <v>1</v>
      </c>
      <c r="R37" s="114"/>
      <c r="S37"/>
      <c r="U37" s="113">
        <v>1</v>
      </c>
      <c r="V37" s="114"/>
      <c r="W37"/>
      <c r="Y37" s="113">
        <v>1</v>
      </c>
      <c r="Z37" s="114"/>
      <c r="AA37"/>
      <c r="AC37" s="113">
        <v>1</v>
      </c>
      <c r="AD37" s="114"/>
      <c r="AE37"/>
      <c r="AG37">
        <v>1</v>
      </c>
      <c r="AJ37">
        <f t="shared" si="0"/>
        <v>5</v>
      </c>
    </row>
    <row r="38" customHeight="1" spans="1:36">
      <c r="M38" s="130">
        <v>36</v>
      </c>
      <c r="N38">
        <v>36</v>
      </c>
      <c r="P38">
        <v>1</v>
      </c>
      <c r="Q38" s="113"/>
      <c r="R38" s="114"/>
      <c r="S38"/>
      <c r="U38" s="113">
        <v>1</v>
      </c>
      <c r="V38" s="114"/>
      <c r="W38"/>
      <c r="Y38" s="113">
        <v>1</v>
      </c>
      <c r="Z38" s="114"/>
      <c r="AA38"/>
      <c r="AC38" s="113">
        <v>1</v>
      </c>
      <c r="AD38" s="114"/>
      <c r="AE38"/>
      <c r="AG38">
        <v>1</v>
      </c>
      <c r="AJ38">
        <f t="shared" si="0"/>
        <v>5</v>
      </c>
    </row>
    <row r="39" customHeight="1" spans="1:36">
      <c r="M39" s="137">
        <v>37</v>
      </c>
      <c r="N39">
        <v>37</v>
      </c>
      <c r="Q39">
        <v>1</v>
      </c>
      <c r="V39" s="113">
        <v>1</v>
      </c>
      <c r="Z39" s="113">
        <v>1</v>
      </c>
      <c r="AD39" s="113">
        <v>1</v>
      </c>
      <c r="AH39">
        <v>1</v>
      </c>
      <c r="AJ39">
        <f t="shared" si="0"/>
        <v>5</v>
      </c>
    </row>
    <row r="40" customHeight="1" spans="1:36">
      <c r="M40" s="130">
        <v>38</v>
      </c>
      <c r="N40">
        <v>38</v>
      </c>
      <c r="R40" s="113">
        <v>1</v>
      </c>
      <c r="V40" s="113">
        <v>1</v>
      </c>
      <c r="Z40" s="113">
        <v>1</v>
      </c>
      <c r="AD40" s="113">
        <v>1</v>
      </c>
      <c r="AH40">
        <v>1</v>
      </c>
      <c r="AJ40">
        <f t="shared" si="0"/>
        <v>5</v>
      </c>
    </row>
    <row r="41" customHeight="1" spans="1:36">
      <c r="M41" s="137">
        <v>39</v>
      </c>
      <c r="N41">
        <v>39</v>
      </c>
      <c r="R41" s="113">
        <v>1</v>
      </c>
      <c r="V41" s="113">
        <v>1</v>
      </c>
      <c r="Z41" s="113">
        <v>1</v>
      </c>
      <c r="AD41" s="113">
        <v>1</v>
      </c>
      <c r="AH41">
        <v>1</v>
      </c>
      <c r="AJ41">
        <f t="shared" si="0"/>
        <v>5</v>
      </c>
    </row>
    <row r="42" customHeight="1" spans="1:36">
      <c r="M42" s="130">
        <v>40</v>
      </c>
      <c r="N42">
        <v>40</v>
      </c>
      <c r="P42">
        <v>1</v>
      </c>
      <c r="Q42" s="113"/>
      <c r="R42" s="114"/>
      <c r="S42"/>
      <c r="U42" s="113">
        <v>1</v>
      </c>
      <c r="V42" s="114"/>
      <c r="W42"/>
      <c r="Y42" s="113">
        <v>1</v>
      </c>
      <c r="Z42" s="114"/>
      <c r="AA42"/>
      <c r="AC42" s="113">
        <v>1</v>
      </c>
      <c r="AD42" s="114"/>
      <c r="AE42"/>
      <c r="AG42">
        <v>1</v>
      </c>
      <c r="AJ42">
        <f t="shared" si="0"/>
        <v>5</v>
      </c>
    </row>
    <row r="43" customHeight="1" spans="1:36">
      <c r="M43" s="137">
        <v>41</v>
      </c>
      <c r="N43">
        <v>41</v>
      </c>
      <c r="Q43" s="113">
        <v>1</v>
      </c>
      <c r="R43" s="114"/>
      <c r="S43"/>
      <c r="U43" s="113">
        <v>1</v>
      </c>
      <c r="V43" s="114"/>
      <c r="W43"/>
      <c r="Y43" s="113">
        <v>1</v>
      </c>
      <c r="Z43" s="114"/>
      <c r="AA43"/>
      <c r="AC43" s="113">
        <v>1</v>
      </c>
      <c r="AD43" s="114"/>
      <c r="AE43"/>
      <c r="AG43">
        <v>1</v>
      </c>
      <c r="AJ43">
        <f t="shared" si="0"/>
        <v>5</v>
      </c>
    </row>
    <row r="44" customHeight="1" spans="1:36">
      <c r="M44" s="130">
        <v>42</v>
      </c>
      <c r="N44">
        <v>42</v>
      </c>
      <c r="Q44" s="113">
        <v>1</v>
      </c>
      <c r="R44" s="114"/>
      <c r="S44"/>
      <c r="U44" s="113">
        <v>1</v>
      </c>
      <c r="V44" s="114"/>
      <c r="W44"/>
      <c r="Y44" s="113">
        <v>1</v>
      </c>
      <c r="Z44" s="114"/>
      <c r="AA44"/>
      <c r="AB44">
        <v>1</v>
      </c>
      <c r="AC44" s="113"/>
      <c r="AD44" s="114"/>
      <c r="AE44"/>
      <c r="AG44">
        <v>1</v>
      </c>
      <c r="AJ44">
        <f t="shared" si="0"/>
        <v>5</v>
      </c>
    </row>
    <row r="45" customHeight="1" spans="1:36">
      <c r="M45" s="137">
        <v>43</v>
      </c>
      <c r="N45">
        <v>43</v>
      </c>
      <c r="Q45" s="113">
        <v>1</v>
      </c>
      <c r="R45" s="114"/>
      <c r="S45"/>
      <c r="U45" s="113">
        <v>1</v>
      </c>
      <c r="V45" s="114"/>
      <c r="W45"/>
      <c r="Y45" s="113"/>
      <c r="Z45" s="114">
        <v>1</v>
      </c>
      <c r="AA45"/>
      <c r="AC45" s="113">
        <v>1</v>
      </c>
      <c r="AD45" s="114"/>
      <c r="AE45"/>
      <c r="AG45">
        <v>1</v>
      </c>
      <c r="AJ45">
        <f t="shared" si="0"/>
        <v>5</v>
      </c>
    </row>
    <row r="46" customHeight="1" spans="1:36">
      <c r="M46" s="130">
        <v>44</v>
      </c>
      <c r="N46">
        <v>44</v>
      </c>
      <c r="R46" s="113">
        <v>1</v>
      </c>
      <c r="V46" s="113">
        <v>1</v>
      </c>
      <c r="Z46" s="113">
        <v>1</v>
      </c>
      <c r="AD46" s="113">
        <v>1</v>
      </c>
      <c r="AH46">
        <v>1</v>
      </c>
      <c r="AJ46">
        <f t="shared" si="0"/>
        <v>5</v>
      </c>
    </row>
    <row r="47" customHeight="1" spans="1:36">
      <c r="M47" s="137">
        <v>45</v>
      </c>
      <c r="N47">
        <v>45</v>
      </c>
      <c r="R47" s="113">
        <v>1</v>
      </c>
      <c r="V47" s="113">
        <v>1</v>
      </c>
      <c r="Y47">
        <v>1</v>
      </c>
      <c r="AD47" s="113">
        <v>1</v>
      </c>
      <c r="AH47">
        <v>1</v>
      </c>
      <c r="AJ47">
        <f t="shared" si="0"/>
        <v>5</v>
      </c>
    </row>
    <row r="48" customHeight="1" spans="1:36">
      <c r="M48" s="130">
        <v>46</v>
      </c>
      <c r="N48">
        <v>46</v>
      </c>
      <c r="P48">
        <v>1</v>
      </c>
      <c r="Q48" s="113"/>
      <c r="R48" s="114"/>
      <c r="S48"/>
      <c r="U48" s="113">
        <v>1</v>
      </c>
      <c r="V48" s="114"/>
      <c r="W48"/>
      <c r="Y48" s="113">
        <v>1</v>
      </c>
      <c r="Z48" s="114"/>
      <c r="AA48"/>
      <c r="AC48" s="113">
        <v>1</v>
      </c>
      <c r="AD48" s="114"/>
      <c r="AE48"/>
      <c r="AG48">
        <v>1</v>
      </c>
      <c r="AJ48">
        <f t="shared" si="0"/>
        <v>5</v>
      </c>
    </row>
    <row r="49" customHeight="1" spans="13:36">
      <c r="M49" s="137">
        <v>47</v>
      </c>
      <c r="N49">
        <v>47</v>
      </c>
      <c r="P49" s="113">
        <v>1</v>
      </c>
      <c r="Q49" s="114"/>
      <c r="R49"/>
      <c r="S49"/>
      <c r="T49" s="113"/>
      <c r="U49" s="114">
        <v>1</v>
      </c>
      <c r="V49"/>
      <c r="W49"/>
      <c r="X49" s="113">
        <v>1</v>
      </c>
      <c r="Y49" s="114"/>
      <c r="Z49"/>
      <c r="AA49"/>
      <c r="AB49" s="113">
        <v>1</v>
      </c>
      <c r="AC49" s="114"/>
      <c r="AD49"/>
      <c r="AE49"/>
      <c r="AF49">
        <v>1</v>
      </c>
      <c r="AJ49">
        <f t="shared" si="0"/>
        <v>5</v>
      </c>
    </row>
    <row r="50" customHeight="1" spans="13:36">
      <c r="M50" s="130">
        <v>48</v>
      </c>
      <c r="N50">
        <v>48</v>
      </c>
      <c r="Q50" s="113">
        <v>1</v>
      </c>
      <c r="R50" s="114"/>
      <c r="S50"/>
      <c r="U50" s="113">
        <v>1</v>
      </c>
      <c r="V50" s="114"/>
      <c r="W50"/>
      <c r="Y50" s="113">
        <v>1</v>
      </c>
      <c r="Z50" s="114"/>
      <c r="AA50"/>
      <c r="AC50" s="113">
        <v>1</v>
      </c>
      <c r="AD50" s="114"/>
      <c r="AE50"/>
      <c r="AG50">
        <v>1</v>
      </c>
      <c r="AJ50">
        <f t="shared" si="0"/>
        <v>5</v>
      </c>
    </row>
    <row r="51" customHeight="1" spans="13:36">
      <c r="M51" s="137"/>
      <c r="N51" s="156" t="s">
        <v>40</v>
      </c>
      <c r="AJ51">
        <f t="shared" si="0"/>
        <v>0</v>
      </c>
    </row>
    <row r="52" customHeight="1" spans="13:36">
      <c r="M52" s="130">
        <v>49</v>
      </c>
      <c r="N52">
        <v>1</v>
      </c>
      <c r="Q52" s="113">
        <v>1</v>
      </c>
      <c r="R52" s="114"/>
      <c r="S52"/>
      <c r="U52" s="113">
        <v>1</v>
      </c>
      <c r="V52" s="114"/>
      <c r="W52"/>
      <c r="Y52" s="113">
        <v>1</v>
      </c>
      <c r="Z52" s="114"/>
      <c r="AA52"/>
      <c r="AC52" s="113">
        <v>1</v>
      </c>
      <c r="AD52" s="114"/>
      <c r="AE52"/>
      <c r="AG52">
        <v>1</v>
      </c>
      <c r="AJ52">
        <f t="shared" si="0"/>
        <v>5</v>
      </c>
    </row>
    <row r="53" customHeight="1" spans="13:36">
      <c r="M53" s="137">
        <v>50</v>
      </c>
      <c r="N53">
        <v>2</v>
      </c>
      <c r="Q53" s="113">
        <v>1</v>
      </c>
      <c r="R53" s="114"/>
      <c r="S53"/>
      <c r="U53" s="113">
        <v>1</v>
      </c>
      <c r="V53" s="114"/>
      <c r="W53"/>
      <c r="Y53" s="113">
        <v>1</v>
      </c>
      <c r="Z53" s="114"/>
      <c r="AA53"/>
      <c r="AC53" s="113">
        <v>1</v>
      </c>
      <c r="AD53" s="114"/>
      <c r="AE53"/>
      <c r="AG53">
        <v>1</v>
      </c>
      <c r="AJ53">
        <f t="shared" si="0"/>
        <v>5</v>
      </c>
    </row>
    <row r="54" customHeight="1" spans="13:36">
      <c r="M54" s="130">
        <v>51</v>
      </c>
      <c r="N54">
        <v>3</v>
      </c>
      <c r="R54" s="113">
        <v>1</v>
      </c>
      <c r="V54" s="113">
        <v>1</v>
      </c>
      <c r="Z54" s="113">
        <v>1</v>
      </c>
      <c r="AD54" s="113">
        <v>1</v>
      </c>
      <c r="AH54">
        <v>1</v>
      </c>
      <c r="AJ54">
        <f t="shared" si="0"/>
        <v>5</v>
      </c>
    </row>
    <row r="55" customHeight="1" spans="13:36">
      <c r="M55" s="137">
        <v>52</v>
      </c>
      <c r="N55">
        <v>4</v>
      </c>
      <c r="R55" s="113">
        <v>1</v>
      </c>
      <c r="V55" s="113">
        <v>1</v>
      </c>
      <c r="Y55">
        <v>1</v>
      </c>
      <c r="AD55" s="113">
        <v>1</v>
      </c>
      <c r="AH55">
        <v>1</v>
      </c>
      <c r="AJ55">
        <f t="shared" si="0"/>
        <v>5</v>
      </c>
    </row>
    <row r="56" customHeight="1" spans="13:36">
      <c r="M56" s="130">
        <v>53</v>
      </c>
      <c r="N56">
        <v>5</v>
      </c>
      <c r="P56" s="113">
        <v>1</v>
      </c>
      <c r="Q56" s="114"/>
      <c r="R56"/>
      <c r="S56"/>
      <c r="T56" s="113">
        <v>1</v>
      </c>
      <c r="U56" s="114"/>
      <c r="V56"/>
      <c r="W56"/>
      <c r="X56" s="113">
        <v>1</v>
      </c>
      <c r="Y56" s="114"/>
      <c r="Z56"/>
      <c r="AA56"/>
      <c r="AB56" s="113">
        <v>1</v>
      </c>
      <c r="AC56" s="114"/>
      <c r="AD56"/>
      <c r="AE56"/>
      <c r="AF56">
        <v>1</v>
      </c>
      <c r="AJ56">
        <f t="shared" si="0"/>
        <v>5</v>
      </c>
    </row>
    <row r="57" customHeight="1" spans="13:36">
      <c r="M57" s="137">
        <v>54</v>
      </c>
      <c r="N57">
        <v>6</v>
      </c>
      <c r="Q57" s="113">
        <v>1</v>
      </c>
      <c r="R57" s="114"/>
      <c r="S57"/>
      <c r="U57" s="113">
        <v>1</v>
      </c>
      <c r="V57" s="114"/>
      <c r="W57"/>
      <c r="Y57" s="113">
        <v>1</v>
      </c>
      <c r="Z57" s="114"/>
      <c r="AA57"/>
      <c r="AC57" s="113">
        <v>1</v>
      </c>
      <c r="AD57" s="114"/>
      <c r="AE57"/>
      <c r="AG57">
        <v>1</v>
      </c>
      <c r="AJ57">
        <f t="shared" si="0"/>
        <v>5</v>
      </c>
    </row>
    <row r="58" customHeight="1" spans="13:36">
      <c r="M58" s="130">
        <v>55</v>
      </c>
      <c r="N58">
        <v>7</v>
      </c>
      <c r="P58">
        <v>1</v>
      </c>
      <c r="Q58" s="113"/>
      <c r="R58" s="114"/>
      <c r="S58"/>
      <c r="U58" s="113">
        <v>1</v>
      </c>
      <c r="V58" s="114"/>
      <c r="W58"/>
      <c r="Y58" s="113">
        <v>1</v>
      </c>
      <c r="Z58" s="114"/>
      <c r="AA58"/>
      <c r="AC58" s="113">
        <v>1</v>
      </c>
      <c r="AD58" s="114"/>
      <c r="AE58"/>
      <c r="AG58">
        <v>1</v>
      </c>
      <c r="AJ58">
        <f t="shared" si="0"/>
        <v>5</v>
      </c>
    </row>
    <row r="59" customHeight="1" spans="13:36">
      <c r="M59" s="137">
        <v>56</v>
      </c>
      <c r="N59">
        <v>8</v>
      </c>
      <c r="Q59" s="113">
        <v>1</v>
      </c>
      <c r="R59" s="114"/>
      <c r="S59"/>
      <c r="U59" s="113">
        <v>1</v>
      </c>
      <c r="V59" s="114"/>
      <c r="W59"/>
      <c r="X59">
        <v>1</v>
      </c>
      <c r="Y59" s="113"/>
      <c r="Z59" s="114"/>
      <c r="AA59"/>
      <c r="AC59" s="113">
        <v>1</v>
      </c>
      <c r="AD59" s="114"/>
      <c r="AE59"/>
      <c r="AG59">
        <v>1</v>
      </c>
      <c r="AJ59">
        <f t="shared" si="0"/>
        <v>5</v>
      </c>
    </row>
    <row r="60" customHeight="1" spans="13:36">
      <c r="M60" s="130">
        <v>57</v>
      </c>
      <c r="N60">
        <v>9</v>
      </c>
      <c r="Q60" s="113">
        <v>1</v>
      </c>
      <c r="R60" s="114"/>
      <c r="S60"/>
      <c r="U60" s="113"/>
      <c r="V60" s="114">
        <v>1</v>
      </c>
      <c r="W60"/>
      <c r="Y60" s="113">
        <v>1</v>
      </c>
      <c r="Z60" s="114"/>
      <c r="AA60"/>
      <c r="AC60" s="113">
        <v>1</v>
      </c>
      <c r="AD60" s="114"/>
      <c r="AE60"/>
      <c r="AG60">
        <v>1</v>
      </c>
      <c r="AJ60">
        <f t="shared" si="0"/>
        <v>5</v>
      </c>
    </row>
    <row r="61" customHeight="1" spans="13:36">
      <c r="M61" s="137">
        <v>58</v>
      </c>
      <c r="N61">
        <v>10</v>
      </c>
      <c r="P61" s="113">
        <v>1</v>
      </c>
      <c r="Q61" s="114"/>
      <c r="R61"/>
      <c r="S61"/>
      <c r="T61" s="113">
        <v>1</v>
      </c>
      <c r="U61" s="114"/>
      <c r="V61"/>
      <c r="W61"/>
      <c r="X61" s="113">
        <v>1</v>
      </c>
      <c r="Y61" s="114"/>
      <c r="Z61"/>
      <c r="AA61"/>
      <c r="AB61" s="113">
        <v>1</v>
      </c>
      <c r="AC61" s="114"/>
      <c r="AD61"/>
      <c r="AE61"/>
      <c r="AF61">
        <v>1</v>
      </c>
      <c r="AJ61">
        <f t="shared" si="0"/>
        <v>5</v>
      </c>
    </row>
    <row r="62" customHeight="1" spans="13:36">
      <c r="M62" s="130">
        <v>59</v>
      </c>
      <c r="N62">
        <v>11</v>
      </c>
      <c r="R62" s="113">
        <v>1</v>
      </c>
      <c r="V62" s="113">
        <v>1</v>
      </c>
      <c r="Z62" s="113">
        <v>1</v>
      </c>
      <c r="AD62" s="113">
        <v>1</v>
      </c>
      <c r="AH62">
        <v>1</v>
      </c>
      <c r="AJ62">
        <f t="shared" si="0"/>
        <v>5</v>
      </c>
    </row>
    <row r="63" customHeight="1" spans="13:36">
      <c r="M63" s="137">
        <v>60</v>
      </c>
      <c r="N63">
        <v>12</v>
      </c>
      <c r="Q63" s="113">
        <v>1</v>
      </c>
      <c r="R63" s="114"/>
      <c r="S63"/>
      <c r="U63" s="113">
        <v>1</v>
      </c>
      <c r="V63" s="114"/>
      <c r="W63"/>
      <c r="Y63" s="113">
        <v>1</v>
      </c>
      <c r="Z63" s="114"/>
      <c r="AA63"/>
      <c r="AC63" s="113">
        <v>1</v>
      </c>
      <c r="AD63" s="114"/>
      <c r="AE63"/>
      <c r="AG63">
        <v>1</v>
      </c>
      <c r="AJ63">
        <f t="shared" si="0"/>
        <v>5</v>
      </c>
    </row>
    <row r="64" customHeight="1" spans="13:36">
      <c r="M64" s="130">
        <v>61</v>
      </c>
      <c r="N64">
        <v>13</v>
      </c>
      <c r="Q64" s="113">
        <v>1</v>
      </c>
      <c r="R64" s="114"/>
      <c r="S64"/>
      <c r="U64" s="113">
        <v>1</v>
      </c>
      <c r="V64" s="114"/>
      <c r="W64"/>
      <c r="Y64" s="113">
        <v>1</v>
      </c>
      <c r="Z64" s="114"/>
      <c r="AA64"/>
      <c r="AC64" s="113">
        <v>1</v>
      </c>
      <c r="AD64" s="114"/>
      <c r="AE64"/>
      <c r="AG64">
        <v>1</v>
      </c>
      <c r="AJ64">
        <f t="shared" si="0"/>
        <v>5</v>
      </c>
    </row>
    <row r="65" customHeight="1" spans="13:36">
      <c r="M65" s="137">
        <v>62</v>
      </c>
      <c r="N65">
        <v>14</v>
      </c>
      <c r="P65">
        <v>1</v>
      </c>
      <c r="Q65" s="113"/>
      <c r="R65" s="114"/>
      <c r="S65"/>
      <c r="U65" s="113">
        <v>1</v>
      </c>
      <c r="V65" s="114"/>
      <c r="W65"/>
      <c r="Y65" s="113">
        <v>1</v>
      </c>
      <c r="Z65" s="114"/>
      <c r="AA65"/>
      <c r="AC65" s="113">
        <v>1</v>
      </c>
      <c r="AD65" s="114"/>
      <c r="AE65"/>
      <c r="AG65">
        <v>1</v>
      </c>
      <c r="AJ65">
        <f t="shared" si="0"/>
        <v>5</v>
      </c>
    </row>
    <row r="66" customHeight="1" spans="13:36">
      <c r="M66" s="130">
        <v>63</v>
      </c>
      <c r="N66">
        <v>15</v>
      </c>
      <c r="Q66" s="113">
        <v>1</v>
      </c>
      <c r="R66" s="114"/>
      <c r="S66"/>
      <c r="U66" s="113">
        <v>1</v>
      </c>
      <c r="V66" s="114"/>
      <c r="W66"/>
      <c r="Y66" s="113">
        <v>1</v>
      </c>
      <c r="Z66" s="114"/>
      <c r="AA66"/>
      <c r="AC66" s="113">
        <v>1</v>
      </c>
      <c r="AD66" s="114"/>
      <c r="AE66"/>
      <c r="AG66">
        <v>1</v>
      </c>
      <c r="AJ66">
        <f t="shared" si="0"/>
        <v>5</v>
      </c>
    </row>
    <row r="67" customHeight="1" spans="13:36">
      <c r="M67" s="137">
        <v>64</v>
      </c>
      <c r="N67">
        <v>16</v>
      </c>
      <c r="R67" s="113">
        <v>1</v>
      </c>
      <c r="V67" s="113">
        <v>1</v>
      </c>
      <c r="Z67" s="113">
        <v>1</v>
      </c>
      <c r="AD67" s="113">
        <v>1</v>
      </c>
      <c r="AH67">
        <v>1</v>
      </c>
      <c r="AJ67">
        <f t="shared" ref="AJ67:AJ130" si="1">SUM(O67:AH67)</f>
        <v>5</v>
      </c>
    </row>
    <row r="68" customHeight="1" spans="13:36">
      <c r="M68" s="130">
        <v>65</v>
      </c>
      <c r="N68">
        <v>17</v>
      </c>
      <c r="R68" s="113">
        <v>1</v>
      </c>
      <c r="V68" s="113">
        <v>1</v>
      </c>
      <c r="Y68">
        <v>1</v>
      </c>
      <c r="AD68" s="113">
        <v>1</v>
      </c>
      <c r="AH68">
        <v>1</v>
      </c>
      <c r="AJ68">
        <f t="shared" si="1"/>
        <v>5</v>
      </c>
    </row>
    <row r="69" customHeight="1" spans="13:36">
      <c r="M69" s="130">
        <v>66</v>
      </c>
      <c r="N69">
        <v>18</v>
      </c>
      <c r="Q69" s="113">
        <v>1</v>
      </c>
      <c r="R69" s="114"/>
      <c r="S69"/>
      <c r="U69" s="113">
        <v>1</v>
      </c>
      <c r="V69" s="114"/>
      <c r="W69"/>
      <c r="X69">
        <v>1</v>
      </c>
      <c r="Y69" s="113"/>
      <c r="Z69" s="114"/>
      <c r="AA69"/>
      <c r="AC69" s="113">
        <v>1</v>
      </c>
      <c r="AD69" s="114"/>
      <c r="AE69"/>
      <c r="AG69">
        <v>1</v>
      </c>
      <c r="AJ69">
        <f t="shared" si="1"/>
        <v>5</v>
      </c>
    </row>
    <row r="70" customHeight="1" spans="13:36">
      <c r="M70" s="137">
        <v>67</v>
      </c>
      <c r="N70">
        <v>19</v>
      </c>
      <c r="R70" s="113">
        <v>1</v>
      </c>
      <c r="V70" s="113">
        <v>1</v>
      </c>
      <c r="Z70" s="113">
        <v>1</v>
      </c>
      <c r="AD70" s="113">
        <v>1</v>
      </c>
      <c r="AH70">
        <v>1</v>
      </c>
      <c r="AJ70">
        <f t="shared" si="1"/>
        <v>5</v>
      </c>
    </row>
    <row r="71" customHeight="1" spans="13:36">
      <c r="M71" s="130">
        <v>68</v>
      </c>
      <c r="N71">
        <v>20</v>
      </c>
      <c r="R71" s="113">
        <v>1</v>
      </c>
      <c r="V71" s="113">
        <v>1</v>
      </c>
      <c r="Z71" s="113">
        <v>1</v>
      </c>
      <c r="AD71" s="113">
        <v>1</v>
      </c>
      <c r="AH71">
        <v>1</v>
      </c>
      <c r="AJ71">
        <f t="shared" si="1"/>
        <v>5</v>
      </c>
    </row>
    <row r="72" customHeight="1" spans="13:36">
      <c r="M72" s="137">
        <v>69</v>
      </c>
      <c r="N72">
        <v>21</v>
      </c>
      <c r="Q72" s="113">
        <v>1</v>
      </c>
      <c r="R72" s="114"/>
      <c r="S72"/>
      <c r="U72" s="113">
        <v>1</v>
      </c>
      <c r="V72" s="114"/>
      <c r="W72"/>
      <c r="Y72" s="113">
        <v>1</v>
      </c>
      <c r="Z72" s="114"/>
      <c r="AA72"/>
      <c r="AC72" s="113">
        <v>1</v>
      </c>
      <c r="AD72" s="114"/>
      <c r="AE72"/>
      <c r="AG72">
        <v>1</v>
      </c>
      <c r="AJ72">
        <f t="shared" si="1"/>
        <v>5</v>
      </c>
    </row>
    <row r="73" customHeight="1" spans="13:36">
      <c r="M73" s="130">
        <v>70</v>
      </c>
      <c r="N73">
        <v>22</v>
      </c>
      <c r="Q73" s="113">
        <v>1</v>
      </c>
      <c r="R73" s="114"/>
      <c r="S73"/>
      <c r="U73" s="113">
        <v>1</v>
      </c>
      <c r="V73" s="114"/>
      <c r="W73"/>
      <c r="Y73" s="113">
        <v>1</v>
      </c>
      <c r="Z73" s="114"/>
      <c r="AA73"/>
      <c r="AC73" s="113">
        <v>1</v>
      </c>
      <c r="AD73" s="114"/>
      <c r="AE73"/>
      <c r="AG73">
        <v>1</v>
      </c>
      <c r="AJ73">
        <f t="shared" si="1"/>
        <v>5</v>
      </c>
    </row>
    <row r="74" customHeight="1" spans="13:36">
      <c r="M74" s="137">
        <v>71</v>
      </c>
      <c r="N74">
        <v>23</v>
      </c>
      <c r="R74" s="113">
        <v>1</v>
      </c>
      <c r="V74" s="113">
        <v>1</v>
      </c>
      <c r="Z74" s="113">
        <v>1</v>
      </c>
      <c r="AD74" s="113">
        <v>1</v>
      </c>
      <c r="AH74">
        <v>1</v>
      </c>
      <c r="AJ74">
        <f t="shared" si="1"/>
        <v>5</v>
      </c>
    </row>
    <row r="75" customHeight="1" spans="13:36">
      <c r="M75" s="130">
        <v>72</v>
      </c>
      <c r="N75">
        <v>24</v>
      </c>
      <c r="R75" s="113">
        <v>1</v>
      </c>
      <c r="V75" s="113">
        <v>1</v>
      </c>
      <c r="Y75">
        <v>1</v>
      </c>
      <c r="AD75" s="113">
        <v>1</v>
      </c>
      <c r="AH75">
        <v>1</v>
      </c>
      <c r="AJ75">
        <f t="shared" si="1"/>
        <v>5</v>
      </c>
    </row>
    <row r="76" customHeight="1" spans="13:36">
      <c r="M76" s="137">
        <v>73</v>
      </c>
      <c r="N76">
        <v>25</v>
      </c>
      <c r="R76" s="113">
        <v>1</v>
      </c>
      <c r="V76" s="113">
        <v>1</v>
      </c>
      <c r="Z76" s="113">
        <v>1</v>
      </c>
      <c r="AD76" s="113">
        <v>1</v>
      </c>
      <c r="AH76">
        <v>1</v>
      </c>
      <c r="AJ76">
        <f t="shared" si="1"/>
        <v>5</v>
      </c>
    </row>
    <row r="77" customHeight="1" spans="13:36">
      <c r="M77" s="130">
        <v>74</v>
      </c>
      <c r="N77">
        <v>26</v>
      </c>
      <c r="Q77" s="113">
        <v>1</v>
      </c>
      <c r="R77" s="114"/>
      <c r="S77"/>
      <c r="U77" s="113">
        <v>1</v>
      </c>
      <c r="V77" s="114"/>
      <c r="W77"/>
      <c r="Y77" s="113">
        <v>1</v>
      </c>
      <c r="Z77" s="114"/>
      <c r="AA77"/>
      <c r="AC77" s="113">
        <v>1</v>
      </c>
      <c r="AD77" s="114"/>
      <c r="AE77"/>
      <c r="AG77">
        <v>1</v>
      </c>
      <c r="AJ77">
        <f t="shared" si="1"/>
        <v>5</v>
      </c>
    </row>
    <row r="78" customHeight="1" spans="13:36">
      <c r="M78" s="137">
        <v>75</v>
      </c>
      <c r="N78">
        <v>27</v>
      </c>
      <c r="R78" s="113">
        <v>1</v>
      </c>
      <c r="V78" s="113">
        <v>1</v>
      </c>
      <c r="Z78" s="113">
        <v>1</v>
      </c>
      <c r="AD78" s="113">
        <v>1</v>
      </c>
      <c r="AH78">
        <v>1</v>
      </c>
      <c r="AJ78">
        <f t="shared" si="1"/>
        <v>5</v>
      </c>
    </row>
    <row r="79" customHeight="1" spans="13:36">
      <c r="M79" s="130">
        <v>76</v>
      </c>
      <c r="N79">
        <v>28</v>
      </c>
      <c r="Q79">
        <v>1</v>
      </c>
      <c r="V79" s="113">
        <v>1</v>
      </c>
      <c r="Z79" s="113">
        <v>1</v>
      </c>
      <c r="AD79" s="113">
        <v>1</v>
      </c>
      <c r="AH79">
        <v>1</v>
      </c>
      <c r="AJ79">
        <f t="shared" si="1"/>
        <v>5</v>
      </c>
    </row>
    <row r="80" customHeight="1" spans="13:36">
      <c r="M80" s="137">
        <v>77</v>
      </c>
      <c r="N80">
        <v>29</v>
      </c>
      <c r="Q80" s="113">
        <v>1</v>
      </c>
      <c r="R80" s="114"/>
      <c r="S80"/>
      <c r="U80" s="113">
        <v>1</v>
      </c>
      <c r="V80" s="114"/>
      <c r="W80"/>
      <c r="Y80" s="113">
        <v>1</v>
      </c>
      <c r="Z80" s="114"/>
      <c r="AA80"/>
      <c r="AC80" s="113">
        <v>1</v>
      </c>
      <c r="AD80" s="114"/>
      <c r="AE80"/>
      <c r="AG80">
        <v>1</v>
      </c>
      <c r="AJ80">
        <f t="shared" si="1"/>
        <v>5</v>
      </c>
    </row>
    <row r="81" customHeight="1" spans="13:36">
      <c r="M81" s="130">
        <v>78</v>
      </c>
      <c r="N81">
        <v>30</v>
      </c>
      <c r="Q81" s="113">
        <v>1</v>
      </c>
      <c r="R81" s="114"/>
      <c r="S81"/>
      <c r="U81" s="113">
        <v>1</v>
      </c>
      <c r="V81" s="114"/>
      <c r="W81"/>
      <c r="Y81" s="113"/>
      <c r="Z81" s="114">
        <v>1</v>
      </c>
      <c r="AA81"/>
      <c r="AC81" s="113">
        <v>1</v>
      </c>
      <c r="AD81" s="114"/>
      <c r="AE81"/>
      <c r="AG81">
        <v>1</v>
      </c>
      <c r="AJ81">
        <f t="shared" si="1"/>
        <v>5</v>
      </c>
    </row>
    <row r="82" customHeight="1" spans="13:36">
      <c r="M82" s="137">
        <v>79</v>
      </c>
      <c r="N82">
        <v>31</v>
      </c>
      <c r="Q82" s="113">
        <v>1</v>
      </c>
      <c r="R82" s="114"/>
      <c r="S82"/>
      <c r="U82" s="113">
        <v>1</v>
      </c>
      <c r="V82" s="114"/>
      <c r="W82"/>
      <c r="Y82" s="113">
        <v>1</v>
      </c>
      <c r="Z82" s="114"/>
      <c r="AA82"/>
      <c r="AC82" s="113">
        <v>1</v>
      </c>
      <c r="AD82" s="114"/>
      <c r="AE82"/>
      <c r="AG82">
        <v>1</v>
      </c>
      <c r="AJ82">
        <f t="shared" si="1"/>
        <v>5</v>
      </c>
    </row>
    <row r="83" customHeight="1" spans="13:36">
      <c r="M83" s="130">
        <v>80</v>
      </c>
      <c r="N83">
        <v>32</v>
      </c>
      <c r="Q83" s="113">
        <v>1</v>
      </c>
      <c r="R83" s="114"/>
      <c r="S83"/>
      <c r="U83" s="113">
        <v>1</v>
      </c>
      <c r="V83" s="114"/>
      <c r="W83"/>
      <c r="Y83" s="113">
        <v>1</v>
      </c>
      <c r="Z83" s="114"/>
      <c r="AA83"/>
      <c r="AC83" s="113">
        <v>1</v>
      </c>
      <c r="AD83" s="114"/>
      <c r="AE83"/>
      <c r="AG83">
        <v>1</v>
      </c>
      <c r="AJ83">
        <f t="shared" si="1"/>
        <v>5</v>
      </c>
    </row>
    <row r="84" customHeight="1" spans="13:36">
      <c r="M84" s="137">
        <v>81</v>
      </c>
      <c r="N84">
        <v>33</v>
      </c>
      <c r="Q84" s="113">
        <v>1</v>
      </c>
      <c r="R84" s="114"/>
      <c r="S84"/>
      <c r="U84" s="113">
        <v>1</v>
      </c>
      <c r="V84" s="114"/>
      <c r="W84"/>
      <c r="Y84" s="113">
        <v>1</v>
      </c>
      <c r="Z84" s="114"/>
      <c r="AA84"/>
      <c r="AC84" s="113">
        <v>1</v>
      </c>
      <c r="AD84" s="114"/>
      <c r="AE84"/>
      <c r="AG84">
        <v>1</v>
      </c>
      <c r="AJ84">
        <f t="shared" si="1"/>
        <v>5</v>
      </c>
    </row>
    <row r="85" customHeight="1" spans="13:36">
      <c r="M85" s="130">
        <v>82</v>
      </c>
      <c r="N85">
        <v>34</v>
      </c>
      <c r="Q85" s="113">
        <v>1</v>
      </c>
      <c r="R85" s="114"/>
      <c r="S85"/>
      <c r="U85" s="113"/>
      <c r="V85" s="114">
        <v>1</v>
      </c>
      <c r="W85"/>
      <c r="Y85" s="113"/>
      <c r="Z85" s="114">
        <v>1</v>
      </c>
      <c r="AA85"/>
      <c r="AC85" s="113">
        <v>1</v>
      </c>
      <c r="AD85" s="114"/>
      <c r="AE85"/>
      <c r="AG85">
        <v>1</v>
      </c>
      <c r="AJ85">
        <f t="shared" si="1"/>
        <v>5</v>
      </c>
    </row>
    <row r="86" customHeight="1" spans="13:36">
      <c r="M86" s="130">
        <v>83</v>
      </c>
      <c r="N86">
        <v>35</v>
      </c>
      <c r="R86" s="113">
        <v>1</v>
      </c>
      <c r="V86" s="113">
        <v>1</v>
      </c>
      <c r="Z86" s="113">
        <v>1</v>
      </c>
      <c r="AD86" s="113">
        <v>1</v>
      </c>
      <c r="AH86">
        <v>1</v>
      </c>
      <c r="AJ86">
        <f t="shared" si="1"/>
        <v>5</v>
      </c>
    </row>
    <row r="87" customHeight="1" spans="13:36">
      <c r="M87" s="137"/>
      <c r="N87" s="156" t="s">
        <v>41</v>
      </c>
      <c r="AJ87">
        <f t="shared" si="1"/>
        <v>0</v>
      </c>
    </row>
    <row r="88" customHeight="1" spans="13:36">
      <c r="M88" s="130">
        <v>84</v>
      </c>
      <c r="N88">
        <v>1</v>
      </c>
      <c r="R88" s="113">
        <v>1</v>
      </c>
      <c r="V88" s="113">
        <v>1</v>
      </c>
      <c r="Z88" s="113">
        <v>1</v>
      </c>
      <c r="AD88" s="113">
        <v>1</v>
      </c>
      <c r="AH88">
        <v>1</v>
      </c>
      <c r="AJ88">
        <f t="shared" si="1"/>
        <v>5</v>
      </c>
    </row>
    <row r="89" customHeight="1" spans="13:36">
      <c r="M89" s="137">
        <v>85</v>
      </c>
      <c r="N89">
        <v>2</v>
      </c>
      <c r="Q89" s="113">
        <v>1</v>
      </c>
      <c r="R89" s="114"/>
      <c r="S89"/>
      <c r="U89" s="113"/>
      <c r="V89" s="114">
        <v>1</v>
      </c>
      <c r="W89"/>
      <c r="Y89" s="113"/>
      <c r="Z89" s="114">
        <v>1</v>
      </c>
      <c r="AA89"/>
      <c r="AC89" s="113">
        <v>1</v>
      </c>
      <c r="AD89" s="114"/>
      <c r="AE89"/>
      <c r="AG89">
        <v>1</v>
      </c>
      <c r="AJ89">
        <f t="shared" si="1"/>
        <v>5</v>
      </c>
    </row>
    <row r="90" customHeight="1" spans="13:36">
      <c r="M90" s="130">
        <v>86</v>
      </c>
      <c r="N90">
        <v>3</v>
      </c>
      <c r="R90" s="113">
        <v>1</v>
      </c>
      <c r="V90" s="113">
        <v>1</v>
      </c>
      <c r="Z90" s="113">
        <v>1</v>
      </c>
      <c r="AD90" s="113">
        <v>1</v>
      </c>
      <c r="AH90">
        <v>1</v>
      </c>
      <c r="AJ90">
        <f t="shared" si="1"/>
        <v>5</v>
      </c>
    </row>
    <row r="91" customHeight="1" spans="13:36">
      <c r="M91" s="137">
        <v>87</v>
      </c>
      <c r="N91">
        <v>4</v>
      </c>
      <c r="Q91" s="113">
        <v>1</v>
      </c>
      <c r="R91" s="114"/>
      <c r="S91"/>
      <c r="U91" s="113">
        <v>1</v>
      </c>
      <c r="V91" s="114"/>
      <c r="W91"/>
      <c r="Y91" s="113">
        <v>1</v>
      </c>
      <c r="Z91" s="114"/>
      <c r="AA91"/>
      <c r="AC91" s="113">
        <v>1</v>
      </c>
      <c r="AD91" s="114"/>
      <c r="AE91"/>
      <c r="AG91">
        <v>1</v>
      </c>
      <c r="AJ91">
        <f t="shared" si="1"/>
        <v>5</v>
      </c>
    </row>
    <row r="92" customHeight="1" spans="13:36">
      <c r="M92" s="130">
        <v>88</v>
      </c>
      <c r="N92">
        <v>5</v>
      </c>
      <c r="R92" s="113">
        <v>1</v>
      </c>
      <c r="V92" s="113">
        <v>1</v>
      </c>
      <c r="Z92" s="113">
        <v>1</v>
      </c>
      <c r="AC92">
        <v>1</v>
      </c>
      <c r="AH92">
        <v>1</v>
      </c>
      <c r="AJ92">
        <f t="shared" si="1"/>
        <v>5</v>
      </c>
    </row>
    <row r="93" customHeight="1" spans="13:36">
      <c r="M93" s="137">
        <v>89</v>
      </c>
      <c r="N93">
        <v>6</v>
      </c>
      <c r="Q93" s="113">
        <v>1</v>
      </c>
      <c r="R93" s="114"/>
      <c r="S93"/>
      <c r="U93" s="113">
        <v>1</v>
      </c>
      <c r="V93" s="114"/>
      <c r="W93"/>
      <c r="Y93" s="113">
        <v>1</v>
      </c>
      <c r="Z93" s="114"/>
      <c r="AA93"/>
      <c r="AC93" s="113">
        <v>1</v>
      </c>
      <c r="AD93" s="114"/>
      <c r="AE93"/>
      <c r="AG93">
        <v>1</v>
      </c>
      <c r="AJ93">
        <f t="shared" si="1"/>
        <v>5</v>
      </c>
    </row>
    <row r="94" customHeight="1" spans="13:36">
      <c r="M94" s="130">
        <v>90</v>
      </c>
      <c r="N94">
        <v>7</v>
      </c>
      <c r="R94" s="113">
        <v>1</v>
      </c>
      <c r="V94" s="113">
        <v>1</v>
      </c>
      <c r="Z94" s="113">
        <v>1</v>
      </c>
      <c r="AD94" s="113">
        <v>1</v>
      </c>
      <c r="AH94">
        <v>1</v>
      </c>
      <c r="AJ94">
        <f t="shared" si="1"/>
        <v>5</v>
      </c>
    </row>
    <row r="95" customHeight="1" spans="13:36">
      <c r="M95" s="137">
        <v>91</v>
      </c>
      <c r="N95">
        <v>8</v>
      </c>
      <c r="Q95" s="113">
        <v>1</v>
      </c>
      <c r="R95" s="114"/>
      <c r="S95"/>
      <c r="U95" s="113">
        <v>1</v>
      </c>
      <c r="V95" s="114"/>
      <c r="W95"/>
      <c r="Y95" s="113">
        <v>1</v>
      </c>
      <c r="Z95" s="114"/>
      <c r="AA95"/>
      <c r="AC95" s="113">
        <v>1</v>
      </c>
      <c r="AD95" s="114"/>
      <c r="AE95"/>
      <c r="AG95">
        <v>1</v>
      </c>
      <c r="AJ95">
        <f t="shared" si="1"/>
        <v>5</v>
      </c>
    </row>
    <row r="96" customHeight="1" spans="13:36">
      <c r="M96" s="130">
        <v>92</v>
      </c>
      <c r="N96">
        <v>9</v>
      </c>
      <c r="R96" s="113">
        <v>1</v>
      </c>
      <c r="V96" s="113">
        <v>1</v>
      </c>
      <c r="Z96" s="113">
        <v>1</v>
      </c>
      <c r="AD96" s="113">
        <v>1</v>
      </c>
      <c r="AH96">
        <v>1</v>
      </c>
      <c r="AJ96">
        <f t="shared" si="1"/>
        <v>5</v>
      </c>
    </row>
    <row r="97" customHeight="1" spans="13:36">
      <c r="M97" s="137">
        <v>93</v>
      </c>
      <c r="N97">
        <v>10</v>
      </c>
      <c r="Q97" s="113">
        <v>1</v>
      </c>
      <c r="R97" s="114"/>
      <c r="S97"/>
      <c r="U97" s="113">
        <v>1</v>
      </c>
      <c r="V97" s="114"/>
      <c r="W97"/>
      <c r="Y97" s="113">
        <v>1</v>
      </c>
      <c r="Z97" s="114"/>
      <c r="AA97"/>
      <c r="AC97" s="113">
        <v>1</v>
      </c>
      <c r="AD97" s="114"/>
      <c r="AE97"/>
      <c r="AG97">
        <v>1</v>
      </c>
      <c r="AJ97">
        <f t="shared" si="1"/>
        <v>5</v>
      </c>
    </row>
    <row r="98" customHeight="1" spans="13:36">
      <c r="M98" s="130">
        <v>94</v>
      </c>
      <c r="N98">
        <v>11</v>
      </c>
      <c r="R98" s="113">
        <v>1</v>
      </c>
      <c r="V98" s="113">
        <v>1</v>
      </c>
      <c r="Z98" s="113">
        <v>1</v>
      </c>
      <c r="AD98" s="113">
        <v>1</v>
      </c>
      <c r="AH98">
        <v>1</v>
      </c>
      <c r="AJ98">
        <f t="shared" si="1"/>
        <v>5</v>
      </c>
    </row>
    <row r="99" customHeight="1" spans="13:36">
      <c r="M99" s="137">
        <v>95</v>
      </c>
      <c r="N99">
        <v>12</v>
      </c>
      <c r="Q99" s="113">
        <v>1</v>
      </c>
      <c r="R99" s="114"/>
      <c r="S99"/>
      <c r="U99" s="113"/>
      <c r="V99" s="114">
        <v>1</v>
      </c>
      <c r="W99"/>
      <c r="Y99" s="113"/>
      <c r="Z99" s="114">
        <v>1</v>
      </c>
      <c r="AA99"/>
      <c r="AC99" s="113">
        <v>1</v>
      </c>
      <c r="AD99" s="114"/>
      <c r="AE99"/>
      <c r="AG99">
        <v>1</v>
      </c>
      <c r="AJ99">
        <f t="shared" si="1"/>
        <v>5</v>
      </c>
    </row>
    <row r="100" customHeight="1" spans="13:36">
      <c r="M100" s="130">
        <v>96</v>
      </c>
      <c r="N100">
        <v>13</v>
      </c>
      <c r="Q100" s="113">
        <v>1</v>
      </c>
      <c r="R100" s="114"/>
      <c r="S100"/>
      <c r="U100" s="113">
        <v>1</v>
      </c>
      <c r="V100" s="114"/>
      <c r="W100"/>
      <c r="Y100" s="113">
        <v>1</v>
      </c>
      <c r="Z100" s="114"/>
      <c r="AA100"/>
      <c r="AC100" s="113">
        <v>1</v>
      </c>
      <c r="AD100" s="114"/>
      <c r="AE100"/>
      <c r="AG100">
        <v>1</v>
      </c>
      <c r="AJ100">
        <f t="shared" si="1"/>
        <v>5</v>
      </c>
    </row>
    <row r="101" customHeight="1" spans="13:36">
      <c r="M101" s="137">
        <v>97</v>
      </c>
      <c r="N101">
        <v>14</v>
      </c>
      <c r="R101" s="113">
        <v>1</v>
      </c>
      <c r="V101" s="113">
        <v>1</v>
      </c>
      <c r="Z101" s="113">
        <v>1</v>
      </c>
      <c r="AD101" s="113">
        <v>1</v>
      </c>
      <c r="AH101">
        <v>1</v>
      </c>
      <c r="AJ101">
        <f t="shared" si="1"/>
        <v>5</v>
      </c>
    </row>
    <row r="102" customHeight="1" spans="13:36">
      <c r="M102" s="130">
        <v>98</v>
      </c>
      <c r="N102">
        <v>15</v>
      </c>
      <c r="Q102" s="113">
        <v>1</v>
      </c>
      <c r="R102" s="114"/>
      <c r="S102"/>
      <c r="U102" s="113">
        <v>1</v>
      </c>
      <c r="V102" s="114"/>
      <c r="W102"/>
      <c r="Y102" s="113"/>
      <c r="Z102" s="114">
        <v>1</v>
      </c>
      <c r="AA102"/>
      <c r="AC102" s="113">
        <v>1</v>
      </c>
      <c r="AD102" s="114"/>
      <c r="AE102"/>
      <c r="AG102">
        <v>1</v>
      </c>
      <c r="AJ102">
        <f t="shared" si="1"/>
        <v>5</v>
      </c>
    </row>
    <row r="103" customHeight="1" spans="13:36">
      <c r="M103" s="137">
        <v>99</v>
      </c>
      <c r="N103">
        <v>16</v>
      </c>
      <c r="R103" s="113">
        <v>1</v>
      </c>
      <c r="V103" s="113">
        <v>1</v>
      </c>
      <c r="Z103" s="113">
        <v>1</v>
      </c>
      <c r="AC103">
        <v>1</v>
      </c>
      <c r="AG103">
        <v>1</v>
      </c>
      <c r="AJ103">
        <f t="shared" si="1"/>
        <v>5</v>
      </c>
    </row>
    <row r="104" customHeight="1" spans="13:36">
      <c r="M104" s="130">
        <v>100</v>
      </c>
      <c r="N104">
        <v>17</v>
      </c>
      <c r="R104" s="113">
        <v>1</v>
      </c>
      <c r="V104" s="113">
        <v>1</v>
      </c>
      <c r="Z104" s="113">
        <v>1</v>
      </c>
      <c r="AC104">
        <v>1</v>
      </c>
      <c r="AG104">
        <v>1</v>
      </c>
      <c r="AJ104">
        <f t="shared" si="1"/>
        <v>5</v>
      </c>
    </row>
    <row r="105" customHeight="1" spans="13:36">
      <c r="M105" s="130">
        <v>101</v>
      </c>
      <c r="N105">
        <v>18</v>
      </c>
      <c r="Q105" s="113">
        <v>1</v>
      </c>
      <c r="R105" s="114"/>
      <c r="S105"/>
      <c r="U105" s="113"/>
      <c r="V105" s="114">
        <v>1</v>
      </c>
      <c r="W105"/>
      <c r="Y105" s="113"/>
      <c r="Z105" s="114">
        <v>1</v>
      </c>
      <c r="AA105"/>
      <c r="AC105" s="113">
        <v>1</v>
      </c>
      <c r="AD105" s="114"/>
      <c r="AE105"/>
      <c r="AG105">
        <v>1</v>
      </c>
      <c r="AJ105">
        <f t="shared" si="1"/>
        <v>5</v>
      </c>
    </row>
    <row r="106" customHeight="1" spans="13:36">
      <c r="M106" s="137">
        <v>102</v>
      </c>
      <c r="N106">
        <v>19</v>
      </c>
      <c r="Q106" s="113">
        <v>1</v>
      </c>
      <c r="R106" s="114"/>
      <c r="S106"/>
      <c r="U106" s="113">
        <v>1</v>
      </c>
      <c r="V106" s="114"/>
      <c r="W106"/>
      <c r="Y106" s="113">
        <v>1</v>
      </c>
      <c r="Z106" s="114"/>
      <c r="AA106"/>
      <c r="AC106" s="113">
        <v>1</v>
      </c>
      <c r="AD106" s="114"/>
      <c r="AE106"/>
      <c r="AG106">
        <v>1</v>
      </c>
      <c r="AJ106">
        <f t="shared" si="1"/>
        <v>5</v>
      </c>
    </row>
    <row r="107" customHeight="1" spans="13:36">
      <c r="M107" s="130">
        <v>103</v>
      </c>
      <c r="N107">
        <v>20</v>
      </c>
      <c r="Q107" s="113">
        <v>1</v>
      </c>
      <c r="R107" s="114"/>
      <c r="S107"/>
      <c r="U107" s="113">
        <v>1</v>
      </c>
      <c r="V107" s="114"/>
      <c r="W107"/>
      <c r="Y107" s="113">
        <v>1</v>
      </c>
      <c r="Z107" s="114"/>
      <c r="AA107"/>
      <c r="AC107" s="113">
        <v>1</v>
      </c>
      <c r="AD107" s="114"/>
      <c r="AE107"/>
      <c r="AG107">
        <v>1</v>
      </c>
      <c r="AJ107">
        <f t="shared" si="1"/>
        <v>5</v>
      </c>
    </row>
    <row r="108" customHeight="1" spans="13:36">
      <c r="M108" s="137">
        <v>104</v>
      </c>
      <c r="N108">
        <v>21</v>
      </c>
      <c r="R108" s="113">
        <v>1</v>
      </c>
      <c r="V108" s="113">
        <v>1</v>
      </c>
      <c r="Z108" s="113">
        <v>1</v>
      </c>
      <c r="AD108" s="113">
        <v>1</v>
      </c>
      <c r="AH108">
        <v>1</v>
      </c>
      <c r="AJ108">
        <f t="shared" si="1"/>
        <v>5</v>
      </c>
    </row>
    <row r="109" customHeight="1" spans="13:36">
      <c r="M109" s="130">
        <v>105</v>
      </c>
      <c r="N109">
        <v>22</v>
      </c>
      <c r="Q109" s="113">
        <v>1</v>
      </c>
      <c r="R109" s="114"/>
      <c r="S109"/>
      <c r="U109" s="113">
        <v>1</v>
      </c>
      <c r="V109" s="114"/>
      <c r="W109"/>
      <c r="Y109" s="113">
        <v>1</v>
      </c>
      <c r="Z109" s="114"/>
      <c r="AA109"/>
      <c r="AC109" s="113">
        <v>1</v>
      </c>
      <c r="AD109" s="114"/>
      <c r="AE109"/>
      <c r="AG109">
        <v>1</v>
      </c>
      <c r="AJ109">
        <f t="shared" si="1"/>
        <v>5</v>
      </c>
    </row>
    <row r="110" customHeight="1" spans="13:36">
      <c r="M110" s="137">
        <v>106</v>
      </c>
      <c r="N110">
        <v>23</v>
      </c>
      <c r="R110" s="113">
        <v>1</v>
      </c>
      <c r="V110" s="113">
        <v>1</v>
      </c>
      <c r="Z110" s="113">
        <v>1</v>
      </c>
      <c r="AD110" s="113">
        <v>1</v>
      </c>
      <c r="AH110">
        <v>1</v>
      </c>
      <c r="AJ110">
        <f t="shared" si="1"/>
        <v>5</v>
      </c>
    </row>
    <row r="111" customHeight="1" spans="13:36">
      <c r="M111" s="130">
        <v>107</v>
      </c>
      <c r="N111">
        <v>24</v>
      </c>
      <c r="R111" s="113">
        <v>1</v>
      </c>
      <c r="V111" s="113">
        <v>1</v>
      </c>
      <c r="Z111" s="113">
        <v>1</v>
      </c>
      <c r="AD111" s="113">
        <v>1</v>
      </c>
      <c r="AH111">
        <v>1</v>
      </c>
      <c r="AJ111">
        <f t="shared" si="1"/>
        <v>5</v>
      </c>
    </row>
    <row r="112" customHeight="1" spans="13:36">
      <c r="M112" s="137">
        <v>108</v>
      </c>
      <c r="N112">
        <v>25</v>
      </c>
      <c r="Q112" s="113">
        <v>1</v>
      </c>
      <c r="R112" s="114"/>
      <c r="S112"/>
      <c r="U112" s="113">
        <v>1</v>
      </c>
      <c r="V112" s="114"/>
      <c r="W112"/>
      <c r="Y112" s="113">
        <v>1</v>
      </c>
      <c r="Z112" s="114"/>
      <c r="AA112"/>
      <c r="AC112" s="113">
        <v>1</v>
      </c>
      <c r="AD112" s="114"/>
      <c r="AE112"/>
      <c r="AG112">
        <v>1</v>
      </c>
      <c r="AJ112">
        <f t="shared" si="1"/>
        <v>5</v>
      </c>
    </row>
    <row r="113" customHeight="1" spans="13:36">
      <c r="M113" s="130">
        <v>109</v>
      </c>
      <c r="N113">
        <v>26</v>
      </c>
      <c r="Q113" s="113">
        <v>1</v>
      </c>
      <c r="R113" s="114"/>
      <c r="S113"/>
      <c r="U113" s="113">
        <v>1</v>
      </c>
      <c r="V113" s="114"/>
      <c r="W113"/>
      <c r="Y113" s="113">
        <v>1</v>
      </c>
      <c r="Z113" s="114"/>
      <c r="AA113"/>
      <c r="AC113" s="113">
        <v>1</v>
      </c>
      <c r="AD113" s="114"/>
      <c r="AE113"/>
      <c r="AG113">
        <v>1</v>
      </c>
      <c r="AJ113">
        <f t="shared" si="1"/>
        <v>5</v>
      </c>
    </row>
    <row r="114" customHeight="1" spans="13:36">
      <c r="M114" s="137">
        <v>110</v>
      </c>
      <c r="N114">
        <v>27</v>
      </c>
      <c r="R114" s="113">
        <v>1</v>
      </c>
      <c r="V114" s="113">
        <v>1</v>
      </c>
      <c r="Z114" s="113">
        <v>1</v>
      </c>
      <c r="AC114">
        <v>1</v>
      </c>
      <c r="AG114">
        <v>1</v>
      </c>
      <c r="AJ114">
        <f t="shared" si="1"/>
        <v>5</v>
      </c>
    </row>
    <row r="115" customHeight="1" spans="13:36">
      <c r="M115" s="130">
        <v>111</v>
      </c>
      <c r="N115">
        <v>28</v>
      </c>
      <c r="Q115" s="113">
        <v>1</v>
      </c>
      <c r="R115" s="114"/>
      <c r="S115"/>
      <c r="U115" s="113">
        <v>1</v>
      </c>
      <c r="V115" s="114"/>
      <c r="W115"/>
      <c r="Y115" s="113">
        <v>1</v>
      </c>
      <c r="Z115" s="114"/>
      <c r="AA115"/>
      <c r="AB115">
        <v>1</v>
      </c>
      <c r="AC115" s="113"/>
      <c r="AD115" s="114"/>
      <c r="AE115"/>
      <c r="AG115">
        <v>1</v>
      </c>
      <c r="AJ115">
        <f t="shared" si="1"/>
        <v>5</v>
      </c>
    </row>
    <row r="116" customHeight="1" spans="13:36">
      <c r="M116" s="137">
        <v>112</v>
      </c>
      <c r="N116">
        <v>29</v>
      </c>
      <c r="R116" s="113">
        <v>1</v>
      </c>
      <c r="V116" s="113">
        <v>1</v>
      </c>
      <c r="Z116" s="113">
        <v>1</v>
      </c>
      <c r="AD116" s="113">
        <v>1</v>
      </c>
      <c r="AH116">
        <v>1</v>
      </c>
      <c r="AJ116">
        <f t="shared" si="1"/>
        <v>5</v>
      </c>
    </row>
    <row r="117" customHeight="1" spans="13:36">
      <c r="M117" s="130">
        <v>113</v>
      </c>
      <c r="N117">
        <v>30</v>
      </c>
      <c r="R117" s="113">
        <v>1</v>
      </c>
      <c r="V117" s="113">
        <v>1</v>
      </c>
      <c r="Z117" s="113">
        <v>1</v>
      </c>
      <c r="AD117" s="113">
        <v>1</v>
      </c>
      <c r="AG117">
        <v>1</v>
      </c>
      <c r="AJ117">
        <f t="shared" si="1"/>
        <v>5</v>
      </c>
    </row>
    <row r="118" customHeight="1" spans="13:36">
      <c r="M118" s="137">
        <v>114</v>
      </c>
      <c r="N118">
        <v>31</v>
      </c>
      <c r="Q118">
        <v>1</v>
      </c>
      <c r="V118" s="113">
        <v>1</v>
      </c>
      <c r="Z118" s="113">
        <v>1</v>
      </c>
      <c r="AD118" s="113">
        <v>1</v>
      </c>
      <c r="AH118">
        <v>1</v>
      </c>
      <c r="AJ118">
        <f t="shared" si="1"/>
        <v>5</v>
      </c>
    </row>
    <row r="119" customHeight="1" spans="13:36">
      <c r="M119" s="130">
        <v>115</v>
      </c>
      <c r="N119">
        <v>32</v>
      </c>
      <c r="Q119" s="113">
        <v>1</v>
      </c>
      <c r="R119" s="114"/>
      <c r="S119"/>
      <c r="U119" s="113">
        <v>1</v>
      </c>
      <c r="V119" s="114"/>
      <c r="W119"/>
      <c r="Y119" s="113">
        <v>1</v>
      </c>
      <c r="Z119" s="114"/>
      <c r="AA119"/>
      <c r="AC119" s="113">
        <v>1</v>
      </c>
      <c r="AD119" s="114"/>
      <c r="AE119"/>
      <c r="AG119">
        <v>1</v>
      </c>
      <c r="AJ119">
        <f t="shared" si="1"/>
        <v>5</v>
      </c>
    </row>
    <row r="120" customHeight="1" spans="13:36">
      <c r="M120" s="137">
        <v>116</v>
      </c>
      <c r="N120">
        <v>33</v>
      </c>
      <c r="R120" s="113">
        <v>1</v>
      </c>
      <c r="V120" s="113">
        <v>1</v>
      </c>
      <c r="Z120" s="113">
        <v>1</v>
      </c>
      <c r="AD120" s="113">
        <v>1</v>
      </c>
      <c r="AH120">
        <v>1</v>
      </c>
      <c r="AJ120">
        <f t="shared" si="1"/>
        <v>5</v>
      </c>
    </row>
    <row r="121" customHeight="1" spans="13:36">
      <c r="M121" s="130">
        <v>117</v>
      </c>
      <c r="N121">
        <v>34</v>
      </c>
      <c r="R121" s="113">
        <v>1</v>
      </c>
      <c r="V121" s="113">
        <v>1</v>
      </c>
      <c r="Z121" s="113">
        <v>1</v>
      </c>
      <c r="AD121" s="113">
        <v>1</v>
      </c>
      <c r="AH121">
        <v>1</v>
      </c>
      <c r="AJ121">
        <f t="shared" si="1"/>
        <v>5</v>
      </c>
    </row>
    <row r="122" customHeight="1" spans="13:36">
      <c r="M122" s="130">
        <v>118</v>
      </c>
      <c r="N122">
        <v>35</v>
      </c>
      <c r="R122" s="113">
        <v>1</v>
      </c>
      <c r="V122" s="113">
        <v>1</v>
      </c>
      <c r="Z122" s="113">
        <v>1</v>
      </c>
      <c r="AD122" s="113">
        <v>1</v>
      </c>
      <c r="AH122">
        <v>1</v>
      </c>
      <c r="AJ122">
        <f t="shared" si="1"/>
        <v>5</v>
      </c>
    </row>
    <row r="123" customHeight="1" spans="13:36">
      <c r="M123" s="130">
        <v>119</v>
      </c>
      <c r="N123">
        <v>36</v>
      </c>
      <c r="Q123" s="113">
        <v>1</v>
      </c>
      <c r="R123" s="114"/>
      <c r="S123"/>
      <c r="U123" s="113">
        <v>1</v>
      </c>
      <c r="V123" s="114"/>
      <c r="W123"/>
      <c r="Y123" s="113">
        <v>1</v>
      </c>
      <c r="Z123" s="114"/>
      <c r="AA123"/>
      <c r="AC123" s="113">
        <v>1</v>
      </c>
      <c r="AD123" s="114"/>
      <c r="AE123"/>
      <c r="AG123">
        <v>1</v>
      </c>
      <c r="AJ123">
        <f t="shared" si="1"/>
        <v>5</v>
      </c>
    </row>
    <row r="124" customHeight="1" spans="13:36">
      <c r="M124" s="137">
        <v>120</v>
      </c>
      <c r="N124">
        <v>37</v>
      </c>
      <c r="Q124" s="113">
        <v>1</v>
      </c>
      <c r="R124" s="114"/>
      <c r="S124"/>
      <c r="U124" s="113">
        <v>1</v>
      </c>
      <c r="V124" s="114"/>
      <c r="W124"/>
      <c r="Y124" s="113">
        <v>1</v>
      </c>
      <c r="Z124" s="114"/>
      <c r="AA124"/>
      <c r="AC124" s="113">
        <v>1</v>
      </c>
      <c r="AD124" s="114"/>
      <c r="AE124"/>
      <c r="AG124">
        <v>1</v>
      </c>
      <c r="AJ124">
        <f t="shared" si="1"/>
        <v>5</v>
      </c>
    </row>
    <row r="125" customHeight="1" spans="13:36">
      <c r="M125" s="130">
        <v>121</v>
      </c>
      <c r="N125">
        <v>38</v>
      </c>
      <c r="R125" s="113">
        <v>1</v>
      </c>
      <c r="V125" s="113">
        <v>1</v>
      </c>
      <c r="Z125" s="113">
        <v>1</v>
      </c>
      <c r="AD125" s="113">
        <v>1</v>
      </c>
      <c r="AH125">
        <v>1</v>
      </c>
      <c r="AJ125">
        <f t="shared" si="1"/>
        <v>5</v>
      </c>
    </row>
    <row r="126" customHeight="1" spans="13:36">
      <c r="M126" s="137">
        <v>122</v>
      </c>
      <c r="N126">
        <v>39</v>
      </c>
      <c r="Q126" s="113">
        <v>1</v>
      </c>
      <c r="R126" s="114"/>
      <c r="S126"/>
      <c r="U126" s="113">
        <v>1</v>
      </c>
      <c r="V126" s="114"/>
      <c r="W126"/>
      <c r="Y126" s="113">
        <v>1</v>
      </c>
      <c r="Z126" s="114"/>
      <c r="AA126"/>
      <c r="AC126" s="113">
        <v>1</v>
      </c>
      <c r="AD126" s="114"/>
      <c r="AE126"/>
      <c r="AG126">
        <v>1</v>
      </c>
      <c r="AJ126">
        <f t="shared" si="1"/>
        <v>5</v>
      </c>
    </row>
    <row r="127" customHeight="1" spans="13:36">
      <c r="M127" s="130">
        <v>123</v>
      </c>
      <c r="N127">
        <v>40</v>
      </c>
      <c r="Q127" s="113"/>
      <c r="R127" s="114">
        <v>1</v>
      </c>
      <c r="S127"/>
      <c r="U127" s="113"/>
      <c r="V127" s="114">
        <v>1</v>
      </c>
      <c r="W127"/>
      <c r="Y127" s="113">
        <v>1</v>
      </c>
      <c r="Z127" s="114"/>
      <c r="AA127"/>
      <c r="AC127" s="113">
        <v>1</v>
      </c>
      <c r="AD127" s="114"/>
      <c r="AE127"/>
      <c r="AG127">
        <v>1</v>
      </c>
      <c r="AJ127">
        <f t="shared" si="1"/>
        <v>5</v>
      </c>
    </row>
    <row r="128" customHeight="1" spans="13:36">
      <c r="M128" s="137">
        <v>124</v>
      </c>
      <c r="N128">
        <v>41</v>
      </c>
      <c r="R128" s="113">
        <v>1</v>
      </c>
      <c r="V128" s="113">
        <v>1</v>
      </c>
      <c r="Z128" s="113">
        <v>1</v>
      </c>
      <c r="AD128" s="113">
        <v>1</v>
      </c>
      <c r="AH128">
        <v>1</v>
      </c>
      <c r="AJ128">
        <f t="shared" si="1"/>
        <v>5</v>
      </c>
    </row>
    <row r="129" customHeight="1" spans="13:36">
      <c r="M129" s="130">
        <v>125</v>
      </c>
      <c r="N129">
        <v>42</v>
      </c>
      <c r="R129" s="113">
        <v>1</v>
      </c>
      <c r="V129" s="113">
        <v>1</v>
      </c>
      <c r="Z129" s="113">
        <v>1</v>
      </c>
      <c r="AD129" s="113">
        <v>1</v>
      </c>
      <c r="AH129">
        <v>1</v>
      </c>
      <c r="AJ129">
        <f t="shared" si="1"/>
        <v>5</v>
      </c>
    </row>
    <row r="130" customHeight="1" spans="13:36">
      <c r="M130" s="137">
        <v>126</v>
      </c>
      <c r="N130">
        <v>43</v>
      </c>
      <c r="Q130" s="113">
        <v>1</v>
      </c>
      <c r="R130" s="114"/>
      <c r="S130"/>
      <c r="U130" s="113">
        <v>1</v>
      </c>
      <c r="V130" s="114"/>
      <c r="W130"/>
      <c r="Y130" s="113">
        <v>1</v>
      </c>
      <c r="Z130" s="114"/>
      <c r="AA130"/>
      <c r="AC130" s="113">
        <v>1</v>
      </c>
      <c r="AD130" s="114"/>
      <c r="AE130"/>
      <c r="AG130">
        <v>1</v>
      </c>
      <c r="AJ130">
        <f t="shared" si="1"/>
        <v>5</v>
      </c>
    </row>
    <row r="131" customHeight="1" spans="13:36">
      <c r="M131" s="130">
        <v>127</v>
      </c>
      <c r="N131">
        <v>44</v>
      </c>
      <c r="R131" s="113">
        <v>1</v>
      </c>
      <c r="V131" s="113">
        <v>1</v>
      </c>
      <c r="Z131" s="113">
        <v>1</v>
      </c>
      <c r="AD131" s="113">
        <v>1</v>
      </c>
      <c r="AH131">
        <v>1</v>
      </c>
      <c r="AJ131">
        <f t="shared" ref="AJ131:AJ194" si="2">SUM(O131:AH131)</f>
        <v>5</v>
      </c>
    </row>
    <row r="132" customHeight="1" spans="13:36">
      <c r="M132" s="137">
        <v>128</v>
      </c>
      <c r="N132">
        <v>45</v>
      </c>
      <c r="R132" s="113">
        <v>1</v>
      </c>
      <c r="V132" s="113">
        <v>1</v>
      </c>
      <c r="Z132" s="113">
        <v>1</v>
      </c>
      <c r="AD132" s="113">
        <v>1</v>
      </c>
      <c r="AH132">
        <v>1</v>
      </c>
      <c r="AJ132">
        <f t="shared" si="2"/>
        <v>5</v>
      </c>
    </row>
    <row r="133" customHeight="1" spans="13:36">
      <c r="M133" s="130">
        <v>129</v>
      </c>
      <c r="N133">
        <v>46</v>
      </c>
      <c r="R133" s="113">
        <v>1</v>
      </c>
      <c r="V133" s="113">
        <v>1</v>
      </c>
      <c r="Z133" s="113">
        <v>1</v>
      </c>
      <c r="AD133" s="113">
        <v>1</v>
      </c>
      <c r="AH133">
        <v>1</v>
      </c>
      <c r="AJ133">
        <f t="shared" si="2"/>
        <v>5</v>
      </c>
    </row>
    <row r="134" customHeight="1" spans="13:36">
      <c r="M134" s="137"/>
      <c r="N134" s="156" t="s">
        <v>42</v>
      </c>
      <c r="AJ134">
        <f t="shared" si="2"/>
        <v>0</v>
      </c>
    </row>
    <row r="135" customHeight="1" spans="13:36">
      <c r="M135" s="130">
        <v>130</v>
      </c>
      <c r="N135">
        <v>1</v>
      </c>
      <c r="R135" s="113">
        <v>1</v>
      </c>
      <c r="V135" s="113">
        <v>1</v>
      </c>
      <c r="Z135" s="113">
        <v>1</v>
      </c>
      <c r="AD135" s="113">
        <v>1</v>
      </c>
      <c r="AH135">
        <v>1</v>
      </c>
      <c r="AJ135">
        <f t="shared" si="2"/>
        <v>5</v>
      </c>
    </row>
    <row r="136" customHeight="1" spans="13:36">
      <c r="M136" s="137">
        <v>131</v>
      </c>
      <c r="N136">
        <v>2</v>
      </c>
      <c r="R136" s="113">
        <v>1</v>
      </c>
      <c r="V136" s="113">
        <v>1</v>
      </c>
      <c r="Z136" s="113">
        <v>1</v>
      </c>
      <c r="AD136" s="113">
        <v>1</v>
      </c>
      <c r="AH136">
        <v>1</v>
      </c>
      <c r="AJ136">
        <f t="shared" si="2"/>
        <v>5</v>
      </c>
    </row>
    <row r="137" customHeight="1" spans="13:36">
      <c r="M137" s="130">
        <v>132</v>
      </c>
      <c r="N137">
        <v>3</v>
      </c>
      <c r="R137" s="113">
        <v>1</v>
      </c>
      <c r="V137" s="113">
        <v>1</v>
      </c>
      <c r="Z137" s="113">
        <v>1</v>
      </c>
      <c r="AD137" s="113">
        <v>1</v>
      </c>
      <c r="AH137">
        <v>1</v>
      </c>
      <c r="AJ137">
        <f t="shared" si="2"/>
        <v>5</v>
      </c>
    </row>
    <row r="138" customHeight="1" spans="13:36">
      <c r="M138" s="137">
        <v>133</v>
      </c>
      <c r="N138">
        <v>4</v>
      </c>
      <c r="R138" s="113">
        <v>1</v>
      </c>
      <c r="V138" s="113">
        <v>1</v>
      </c>
      <c r="Z138" s="113">
        <v>1</v>
      </c>
      <c r="AD138" s="113">
        <v>1</v>
      </c>
      <c r="AH138">
        <v>1</v>
      </c>
      <c r="AJ138">
        <f t="shared" si="2"/>
        <v>5</v>
      </c>
    </row>
    <row r="139" customHeight="1" spans="13:36">
      <c r="M139" s="130">
        <v>134</v>
      </c>
      <c r="N139">
        <v>5</v>
      </c>
      <c r="R139" s="113">
        <v>1</v>
      </c>
      <c r="V139" s="113">
        <v>1</v>
      </c>
      <c r="Z139" s="113">
        <v>1</v>
      </c>
      <c r="AD139" s="113">
        <v>1</v>
      </c>
      <c r="AH139">
        <v>1</v>
      </c>
      <c r="AJ139">
        <f t="shared" si="2"/>
        <v>5</v>
      </c>
    </row>
    <row r="140" customHeight="1" spans="13:36">
      <c r="M140" s="137">
        <v>135</v>
      </c>
      <c r="N140">
        <v>6</v>
      </c>
      <c r="Q140" s="113">
        <v>1</v>
      </c>
      <c r="R140" s="114"/>
      <c r="S140"/>
      <c r="U140" s="113">
        <v>1</v>
      </c>
      <c r="V140" s="114"/>
      <c r="W140"/>
      <c r="Y140" s="113">
        <v>1</v>
      </c>
      <c r="Z140" s="114"/>
      <c r="AA140"/>
      <c r="AC140" s="113">
        <v>1</v>
      </c>
      <c r="AD140" s="114"/>
      <c r="AE140"/>
      <c r="AG140">
        <v>1</v>
      </c>
      <c r="AJ140">
        <f t="shared" si="2"/>
        <v>5</v>
      </c>
    </row>
    <row r="141" customHeight="1" spans="13:36">
      <c r="M141" s="130">
        <v>136</v>
      </c>
      <c r="N141">
        <v>7</v>
      </c>
      <c r="R141" s="113">
        <v>1</v>
      </c>
      <c r="V141" s="113">
        <v>1</v>
      </c>
      <c r="Z141" s="113">
        <v>1</v>
      </c>
      <c r="AD141" s="113">
        <v>1</v>
      </c>
      <c r="AH141">
        <v>1</v>
      </c>
      <c r="AJ141">
        <f t="shared" si="2"/>
        <v>5</v>
      </c>
    </row>
    <row r="142" customHeight="1" spans="13:36">
      <c r="M142" s="137">
        <v>137</v>
      </c>
      <c r="N142">
        <v>8</v>
      </c>
      <c r="R142" s="113">
        <v>1</v>
      </c>
      <c r="V142" s="113">
        <v>1</v>
      </c>
      <c r="Z142" s="113">
        <v>1</v>
      </c>
      <c r="AD142" s="113">
        <v>1</v>
      </c>
      <c r="AH142">
        <v>1</v>
      </c>
      <c r="AJ142">
        <f t="shared" si="2"/>
        <v>5</v>
      </c>
    </row>
    <row r="143" customHeight="1" spans="13:36">
      <c r="M143" s="130">
        <v>138</v>
      </c>
      <c r="N143">
        <v>9</v>
      </c>
      <c r="R143" s="113">
        <v>1</v>
      </c>
      <c r="V143" s="113">
        <v>1</v>
      </c>
      <c r="Z143" s="113">
        <v>1</v>
      </c>
      <c r="AD143" s="113">
        <v>1</v>
      </c>
      <c r="AH143">
        <v>1</v>
      </c>
      <c r="AJ143">
        <f t="shared" si="2"/>
        <v>5</v>
      </c>
    </row>
    <row r="144" customHeight="1" spans="13:36">
      <c r="M144" s="137">
        <v>139</v>
      </c>
      <c r="N144">
        <v>10</v>
      </c>
      <c r="R144" s="113">
        <v>1</v>
      </c>
      <c r="V144" s="113">
        <v>1</v>
      </c>
      <c r="Z144" s="113">
        <v>1</v>
      </c>
      <c r="AD144" s="113">
        <v>1</v>
      </c>
      <c r="AH144">
        <v>1</v>
      </c>
      <c r="AJ144">
        <f t="shared" si="2"/>
        <v>5</v>
      </c>
    </row>
    <row r="145" customHeight="1" spans="13:36">
      <c r="M145" s="130">
        <v>140</v>
      </c>
      <c r="N145">
        <v>11</v>
      </c>
      <c r="Q145">
        <v>1</v>
      </c>
      <c r="V145" s="113">
        <v>1</v>
      </c>
      <c r="Z145" s="113">
        <v>1</v>
      </c>
      <c r="AD145" s="113">
        <v>1</v>
      </c>
      <c r="AH145">
        <v>1</v>
      </c>
      <c r="AJ145">
        <f t="shared" si="2"/>
        <v>5</v>
      </c>
    </row>
    <row r="146" customHeight="1" spans="13:36">
      <c r="M146" s="137">
        <v>141</v>
      </c>
      <c r="N146">
        <v>12</v>
      </c>
      <c r="R146" s="113">
        <v>1</v>
      </c>
      <c r="V146" s="113">
        <v>1</v>
      </c>
      <c r="Z146" s="113">
        <v>1</v>
      </c>
      <c r="AD146" s="113">
        <v>1</v>
      </c>
      <c r="AH146">
        <v>1</v>
      </c>
      <c r="AJ146">
        <f t="shared" si="2"/>
        <v>5</v>
      </c>
    </row>
    <row r="147" customHeight="1" spans="13:36">
      <c r="M147" s="130">
        <v>142</v>
      </c>
      <c r="N147">
        <v>13</v>
      </c>
      <c r="Q147" s="113">
        <v>1</v>
      </c>
      <c r="R147" s="114"/>
      <c r="S147"/>
      <c r="U147" s="113">
        <v>1</v>
      </c>
      <c r="V147" s="114"/>
      <c r="W147"/>
      <c r="Y147" s="113">
        <v>1</v>
      </c>
      <c r="Z147" s="114"/>
      <c r="AA147"/>
      <c r="AC147" s="113">
        <v>1</v>
      </c>
      <c r="AD147" s="114"/>
      <c r="AE147"/>
      <c r="AG147">
        <v>1</v>
      </c>
      <c r="AJ147">
        <f t="shared" si="2"/>
        <v>5</v>
      </c>
    </row>
    <row r="148" customHeight="1" spans="13:36">
      <c r="M148" s="137">
        <v>143</v>
      </c>
      <c r="N148">
        <v>14</v>
      </c>
      <c r="Q148" s="113">
        <v>1</v>
      </c>
      <c r="R148" s="114"/>
      <c r="S148"/>
      <c r="U148" s="113">
        <v>1</v>
      </c>
      <c r="V148" s="114"/>
      <c r="W148"/>
      <c r="Y148" s="113">
        <v>1</v>
      </c>
      <c r="Z148" s="114"/>
      <c r="AA148"/>
      <c r="AC148" s="113">
        <v>1</v>
      </c>
      <c r="AD148" s="114"/>
      <c r="AE148"/>
      <c r="AG148">
        <v>1</v>
      </c>
      <c r="AJ148">
        <f t="shared" si="2"/>
        <v>5</v>
      </c>
    </row>
    <row r="149" customHeight="1" spans="13:36">
      <c r="M149" s="130">
        <v>144</v>
      </c>
      <c r="N149">
        <v>15</v>
      </c>
      <c r="R149" s="113">
        <v>1</v>
      </c>
      <c r="V149" s="113">
        <v>1</v>
      </c>
      <c r="Z149" s="113">
        <v>1</v>
      </c>
      <c r="AD149" s="113">
        <v>1</v>
      </c>
      <c r="AH149">
        <v>1</v>
      </c>
      <c r="AJ149">
        <f t="shared" si="2"/>
        <v>5</v>
      </c>
    </row>
    <row r="150" customHeight="1" spans="13:36">
      <c r="M150" s="137">
        <v>145</v>
      </c>
      <c r="N150">
        <v>16</v>
      </c>
      <c r="R150" s="113">
        <v>1</v>
      </c>
      <c r="V150" s="113">
        <v>1</v>
      </c>
      <c r="Z150" s="113">
        <v>1</v>
      </c>
      <c r="AD150" s="113">
        <v>1</v>
      </c>
      <c r="AH150">
        <v>1</v>
      </c>
      <c r="AJ150">
        <f t="shared" si="2"/>
        <v>5</v>
      </c>
    </row>
    <row r="151" customHeight="1" spans="13:36">
      <c r="M151" s="130">
        <v>146</v>
      </c>
      <c r="N151">
        <v>17</v>
      </c>
      <c r="Q151" s="113">
        <v>1</v>
      </c>
      <c r="R151" s="114"/>
      <c r="S151"/>
      <c r="U151" s="113">
        <v>1</v>
      </c>
      <c r="V151" s="114"/>
      <c r="W151"/>
      <c r="Y151" s="113">
        <v>1</v>
      </c>
      <c r="Z151" s="114"/>
      <c r="AA151"/>
      <c r="AC151" s="113"/>
      <c r="AD151" s="114">
        <v>1</v>
      </c>
      <c r="AE151"/>
      <c r="AH151">
        <v>1</v>
      </c>
      <c r="AJ151">
        <f t="shared" si="2"/>
        <v>5</v>
      </c>
    </row>
    <row r="152" customHeight="1" spans="13:36">
      <c r="M152" s="137">
        <v>147</v>
      </c>
      <c r="N152">
        <v>18</v>
      </c>
      <c r="R152" s="113">
        <v>1</v>
      </c>
      <c r="V152" s="113">
        <v>1</v>
      </c>
      <c r="Z152" s="113">
        <v>1</v>
      </c>
      <c r="AD152" s="113">
        <v>1</v>
      </c>
      <c r="AH152">
        <v>1</v>
      </c>
      <c r="AJ152">
        <f t="shared" si="2"/>
        <v>5</v>
      </c>
    </row>
    <row r="153" customHeight="1" spans="13:36">
      <c r="M153" s="130">
        <v>148</v>
      </c>
      <c r="N153">
        <v>19</v>
      </c>
      <c r="R153" s="113">
        <v>1</v>
      </c>
      <c r="V153" s="113">
        <v>1</v>
      </c>
      <c r="Z153" s="113">
        <v>1</v>
      </c>
      <c r="AD153" s="113">
        <v>1</v>
      </c>
      <c r="AH153">
        <v>1</v>
      </c>
      <c r="AJ153">
        <f t="shared" si="2"/>
        <v>5</v>
      </c>
    </row>
    <row r="154" customHeight="1" spans="13:36">
      <c r="M154" s="137">
        <v>149</v>
      </c>
      <c r="N154">
        <v>20</v>
      </c>
      <c r="R154" s="113">
        <v>1</v>
      </c>
      <c r="V154" s="113">
        <v>1</v>
      </c>
      <c r="Z154" s="113">
        <v>1</v>
      </c>
      <c r="AD154" s="113">
        <v>1</v>
      </c>
      <c r="AH154">
        <v>1</v>
      </c>
      <c r="AJ154">
        <f t="shared" si="2"/>
        <v>5</v>
      </c>
    </row>
    <row r="155" customHeight="1" spans="13:36">
      <c r="M155" s="130">
        <v>150</v>
      </c>
      <c r="N155">
        <v>21</v>
      </c>
      <c r="R155" s="113">
        <v>1</v>
      </c>
      <c r="V155" s="113">
        <v>1</v>
      </c>
      <c r="Z155" s="113">
        <v>1</v>
      </c>
      <c r="AD155" s="113">
        <v>1</v>
      </c>
      <c r="AH155">
        <v>1</v>
      </c>
      <c r="AJ155">
        <f t="shared" si="2"/>
        <v>5</v>
      </c>
    </row>
    <row r="156" customHeight="1" spans="13:36">
      <c r="M156" s="130">
        <v>151</v>
      </c>
      <c r="N156">
        <v>22</v>
      </c>
      <c r="R156" s="113">
        <v>1</v>
      </c>
      <c r="V156" s="113">
        <v>1</v>
      </c>
      <c r="Z156" s="113">
        <v>1</v>
      </c>
      <c r="AD156" s="113">
        <v>1</v>
      </c>
      <c r="AH156">
        <v>1</v>
      </c>
      <c r="AJ156">
        <f t="shared" si="2"/>
        <v>5</v>
      </c>
    </row>
    <row r="157" customHeight="1" spans="13:36">
      <c r="M157" s="137">
        <v>152</v>
      </c>
      <c r="N157">
        <v>23</v>
      </c>
      <c r="Q157" s="113">
        <v>1</v>
      </c>
      <c r="R157" s="114"/>
      <c r="S157"/>
      <c r="U157" s="113">
        <v>1</v>
      </c>
      <c r="V157" s="114"/>
      <c r="W157"/>
      <c r="Y157" s="113">
        <v>1</v>
      </c>
      <c r="Z157" s="114"/>
      <c r="AA157"/>
      <c r="AC157" s="113">
        <v>1</v>
      </c>
      <c r="AD157" s="114"/>
      <c r="AE157"/>
      <c r="AG157">
        <v>1</v>
      </c>
      <c r="AJ157">
        <f t="shared" si="2"/>
        <v>5</v>
      </c>
    </row>
    <row r="158" customHeight="1" spans="13:36">
      <c r="M158" s="130">
        <v>153</v>
      </c>
      <c r="N158">
        <v>24</v>
      </c>
      <c r="Q158" s="113">
        <v>1</v>
      </c>
      <c r="R158" s="114"/>
      <c r="S158"/>
      <c r="U158" s="113">
        <v>1</v>
      </c>
      <c r="V158" s="114"/>
      <c r="W158"/>
      <c r="Y158" s="113">
        <v>1</v>
      </c>
      <c r="Z158" s="114"/>
      <c r="AA158"/>
      <c r="AC158" s="113">
        <v>1</v>
      </c>
      <c r="AD158" s="114"/>
      <c r="AE158"/>
      <c r="AG158">
        <v>1</v>
      </c>
      <c r="AJ158">
        <f t="shared" si="2"/>
        <v>5</v>
      </c>
    </row>
    <row r="159" customHeight="1" spans="13:36">
      <c r="M159" s="137">
        <v>154</v>
      </c>
      <c r="N159">
        <v>25</v>
      </c>
      <c r="Q159" s="113">
        <v>1</v>
      </c>
      <c r="R159" s="114"/>
      <c r="S159"/>
      <c r="U159" s="113">
        <v>1</v>
      </c>
      <c r="V159" s="114"/>
      <c r="W159"/>
      <c r="Y159" s="113">
        <v>1</v>
      </c>
      <c r="Z159" s="114"/>
      <c r="AA159"/>
      <c r="AC159" s="113">
        <v>1</v>
      </c>
      <c r="AD159" s="114"/>
      <c r="AE159"/>
      <c r="AG159">
        <v>1</v>
      </c>
      <c r="AJ159">
        <f t="shared" si="2"/>
        <v>5</v>
      </c>
    </row>
    <row r="160" customHeight="1" spans="13:36">
      <c r="M160" s="130">
        <v>155</v>
      </c>
      <c r="N160">
        <v>26</v>
      </c>
      <c r="R160" s="113">
        <v>1</v>
      </c>
      <c r="V160" s="113">
        <v>1</v>
      </c>
      <c r="Z160" s="113">
        <v>1</v>
      </c>
      <c r="AD160" s="113">
        <v>1</v>
      </c>
      <c r="AH160">
        <v>1</v>
      </c>
      <c r="AJ160">
        <f t="shared" si="2"/>
        <v>5</v>
      </c>
    </row>
    <row r="161" customHeight="1" spans="13:36">
      <c r="M161" s="137">
        <v>156</v>
      </c>
      <c r="N161">
        <v>27</v>
      </c>
      <c r="Q161" s="113">
        <v>1</v>
      </c>
      <c r="R161" s="114"/>
      <c r="S161"/>
      <c r="U161" s="113">
        <v>1</v>
      </c>
      <c r="V161" s="114"/>
      <c r="W161"/>
      <c r="Y161" s="113">
        <v>1</v>
      </c>
      <c r="Z161" s="114"/>
      <c r="AA161"/>
      <c r="AC161" s="113">
        <v>1</v>
      </c>
      <c r="AD161" s="114"/>
      <c r="AE161"/>
      <c r="AG161">
        <v>1</v>
      </c>
      <c r="AJ161">
        <f t="shared" si="2"/>
        <v>5</v>
      </c>
    </row>
    <row r="162" customHeight="1" spans="13:36">
      <c r="M162" s="130">
        <v>157</v>
      </c>
      <c r="N162">
        <v>28</v>
      </c>
      <c r="R162" s="113">
        <v>1</v>
      </c>
      <c r="V162" s="113">
        <v>1</v>
      </c>
      <c r="Z162" s="113">
        <v>1</v>
      </c>
      <c r="AD162" s="113">
        <v>1</v>
      </c>
      <c r="AH162">
        <v>1</v>
      </c>
      <c r="AJ162">
        <f t="shared" si="2"/>
        <v>5</v>
      </c>
    </row>
    <row r="163" customHeight="1" spans="13:36">
      <c r="M163" s="137">
        <v>158</v>
      </c>
      <c r="N163">
        <v>29</v>
      </c>
      <c r="R163" s="113">
        <v>1</v>
      </c>
      <c r="V163" s="113">
        <v>1</v>
      </c>
      <c r="Z163" s="113">
        <v>1</v>
      </c>
      <c r="AD163" s="113">
        <v>1</v>
      </c>
      <c r="AH163">
        <v>1</v>
      </c>
      <c r="AJ163">
        <f t="shared" si="2"/>
        <v>5</v>
      </c>
    </row>
    <row r="164" customHeight="1" spans="13:36">
      <c r="M164" s="130">
        <v>159</v>
      </c>
      <c r="N164">
        <v>30</v>
      </c>
      <c r="Q164" s="113">
        <v>1</v>
      </c>
      <c r="R164" s="114"/>
      <c r="S164"/>
      <c r="U164" s="113">
        <v>1</v>
      </c>
      <c r="V164" s="114"/>
      <c r="W164"/>
      <c r="Y164" s="113">
        <v>1</v>
      </c>
      <c r="Z164" s="114"/>
      <c r="AA164"/>
      <c r="AC164" s="113">
        <v>1</v>
      </c>
      <c r="AD164" s="114"/>
      <c r="AE164"/>
      <c r="AG164">
        <v>1</v>
      </c>
      <c r="AJ164">
        <f t="shared" si="2"/>
        <v>5</v>
      </c>
    </row>
    <row r="165" customHeight="1" spans="13:36">
      <c r="M165" s="137">
        <v>160</v>
      </c>
      <c r="N165">
        <v>31</v>
      </c>
      <c r="R165" s="113">
        <v>1</v>
      </c>
      <c r="V165" s="113">
        <v>1</v>
      </c>
      <c r="Z165" s="113">
        <v>1</v>
      </c>
      <c r="AD165" s="113">
        <v>1</v>
      </c>
      <c r="AH165">
        <v>1</v>
      </c>
      <c r="AJ165">
        <f t="shared" si="2"/>
        <v>5</v>
      </c>
    </row>
    <row r="166" customHeight="1" spans="13:36">
      <c r="M166" s="130">
        <v>161</v>
      </c>
      <c r="N166">
        <v>32</v>
      </c>
      <c r="R166" s="113">
        <v>1</v>
      </c>
      <c r="V166" s="113">
        <v>1</v>
      </c>
      <c r="Z166" s="113">
        <v>1</v>
      </c>
      <c r="AD166" s="113">
        <v>1</v>
      </c>
      <c r="AH166">
        <v>1</v>
      </c>
      <c r="AJ166">
        <f t="shared" si="2"/>
        <v>5</v>
      </c>
    </row>
    <row r="167" customHeight="1" spans="13:36">
      <c r="M167" s="137">
        <v>162</v>
      </c>
      <c r="N167">
        <v>33</v>
      </c>
      <c r="R167" s="113">
        <v>1</v>
      </c>
      <c r="V167" s="113">
        <v>1</v>
      </c>
      <c r="Z167" s="113">
        <v>1</v>
      </c>
      <c r="AD167" s="113">
        <v>1</v>
      </c>
      <c r="AH167">
        <v>1</v>
      </c>
      <c r="AJ167">
        <f t="shared" si="2"/>
        <v>5</v>
      </c>
    </row>
    <row r="168" customHeight="1" spans="13:36">
      <c r="M168" s="130">
        <v>163</v>
      </c>
      <c r="N168">
        <v>34</v>
      </c>
      <c r="R168" s="113">
        <v>1</v>
      </c>
      <c r="V168" s="113">
        <v>1</v>
      </c>
      <c r="Z168" s="113">
        <v>1</v>
      </c>
      <c r="AD168" s="113">
        <v>1</v>
      </c>
      <c r="AH168">
        <v>1</v>
      </c>
      <c r="AJ168">
        <f t="shared" si="2"/>
        <v>5</v>
      </c>
    </row>
    <row r="169" customHeight="1" spans="13:36">
      <c r="M169" s="137">
        <v>164</v>
      </c>
      <c r="N169">
        <v>35</v>
      </c>
      <c r="Q169" s="113">
        <v>1</v>
      </c>
      <c r="R169" s="114"/>
      <c r="S169"/>
      <c r="U169" s="113">
        <v>1</v>
      </c>
      <c r="V169" s="114"/>
      <c r="W169"/>
      <c r="Y169" s="113">
        <v>1</v>
      </c>
      <c r="Z169" s="114"/>
      <c r="AA169"/>
      <c r="AC169" s="113">
        <v>1</v>
      </c>
      <c r="AD169" s="114"/>
      <c r="AE169"/>
      <c r="AG169">
        <v>1</v>
      </c>
      <c r="AJ169">
        <f t="shared" si="2"/>
        <v>5</v>
      </c>
    </row>
    <row r="170" customHeight="1" spans="13:36">
      <c r="M170" s="130">
        <v>165</v>
      </c>
      <c r="N170">
        <v>36</v>
      </c>
      <c r="R170" s="113">
        <v>1</v>
      </c>
      <c r="V170" s="113">
        <v>1</v>
      </c>
      <c r="Z170" s="113">
        <v>1</v>
      </c>
      <c r="AC170">
        <v>1</v>
      </c>
      <c r="AG170">
        <v>1</v>
      </c>
      <c r="AJ170">
        <f t="shared" si="2"/>
        <v>5</v>
      </c>
    </row>
    <row r="171" customHeight="1" spans="13:36">
      <c r="M171" s="137">
        <v>166</v>
      </c>
      <c r="N171">
        <v>37</v>
      </c>
      <c r="Q171" s="113">
        <v>1</v>
      </c>
      <c r="R171" s="114"/>
      <c r="S171"/>
      <c r="U171" s="113">
        <v>1</v>
      </c>
      <c r="V171" s="114"/>
      <c r="W171"/>
      <c r="Y171" s="113">
        <v>1</v>
      </c>
      <c r="Z171" s="114"/>
      <c r="AA171"/>
      <c r="AC171" s="113">
        <v>1</v>
      </c>
      <c r="AD171" s="114"/>
      <c r="AE171"/>
      <c r="AG171">
        <v>1</v>
      </c>
      <c r="AJ171">
        <f t="shared" si="2"/>
        <v>5</v>
      </c>
    </row>
    <row r="172" customHeight="1" spans="13:36">
      <c r="M172" s="130"/>
      <c r="N172" s="156" t="s">
        <v>43</v>
      </c>
      <c r="AJ172">
        <f t="shared" si="2"/>
        <v>0</v>
      </c>
    </row>
    <row r="173" customHeight="1" spans="13:36">
      <c r="M173" s="137">
        <v>167</v>
      </c>
      <c r="N173">
        <v>1</v>
      </c>
      <c r="R173" s="113">
        <v>1</v>
      </c>
      <c r="V173" s="113">
        <v>1</v>
      </c>
      <c r="Z173" s="113">
        <v>1</v>
      </c>
      <c r="AD173" s="113">
        <v>1</v>
      </c>
      <c r="AH173">
        <v>1</v>
      </c>
      <c r="AJ173">
        <f t="shared" si="2"/>
        <v>5</v>
      </c>
    </row>
    <row r="174" customHeight="1" spans="13:36">
      <c r="M174" s="130">
        <v>168</v>
      </c>
      <c r="N174">
        <v>2</v>
      </c>
      <c r="R174" s="113">
        <v>1</v>
      </c>
      <c r="V174" s="113">
        <v>1</v>
      </c>
      <c r="Z174" s="113">
        <v>1</v>
      </c>
      <c r="AD174" s="113">
        <v>1</v>
      </c>
      <c r="AH174">
        <v>1</v>
      </c>
      <c r="AJ174">
        <f t="shared" si="2"/>
        <v>5</v>
      </c>
    </row>
    <row r="175" customHeight="1" spans="13:36">
      <c r="M175" s="137">
        <v>169</v>
      </c>
      <c r="N175">
        <v>3</v>
      </c>
      <c r="R175" s="113">
        <v>1</v>
      </c>
      <c r="V175" s="113">
        <v>1</v>
      </c>
      <c r="Z175" s="113">
        <v>1</v>
      </c>
      <c r="AD175" s="113">
        <v>1</v>
      </c>
      <c r="AH175">
        <v>1</v>
      </c>
      <c r="AJ175">
        <f t="shared" si="2"/>
        <v>5</v>
      </c>
    </row>
    <row r="176" customHeight="1" spans="13:36">
      <c r="M176" s="130">
        <v>170</v>
      </c>
      <c r="N176">
        <v>4</v>
      </c>
      <c r="R176" s="113">
        <v>1</v>
      </c>
      <c r="V176" s="113">
        <v>1</v>
      </c>
      <c r="Z176" s="113">
        <v>1</v>
      </c>
      <c r="AD176" s="113">
        <v>1</v>
      </c>
      <c r="AH176">
        <v>1</v>
      </c>
      <c r="AJ176">
        <f t="shared" si="2"/>
        <v>5</v>
      </c>
    </row>
    <row r="177" customHeight="1" spans="13:36">
      <c r="M177" s="137">
        <v>171</v>
      </c>
      <c r="N177">
        <v>5</v>
      </c>
      <c r="R177" s="113">
        <v>1</v>
      </c>
      <c r="V177" s="113">
        <v>1</v>
      </c>
      <c r="Z177" s="113">
        <v>1</v>
      </c>
      <c r="AD177" s="113">
        <v>1</v>
      </c>
      <c r="AH177">
        <v>1</v>
      </c>
      <c r="AJ177">
        <f t="shared" si="2"/>
        <v>5</v>
      </c>
    </row>
    <row r="178" customHeight="1" spans="13:36">
      <c r="M178" s="130">
        <v>172</v>
      </c>
      <c r="N178">
        <v>6</v>
      </c>
      <c r="Q178" s="113">
        <v>1</v>
      </c>
      <c r="R178" s="114"/>
      <c r="S178"/>
      <c r="U178" s="113">
        <v>1</v>
      </c>
      <c r="V178" s="114"/>
      <c r="W178"/>
      <c r="Y178" s="113">
        <v>1</v>
      </c>
      <c r="Z178" s="114"/>
      <c r="AA178"/>
      <c r="AC178" s="113">
        <v>1</v>
      </c>
      <c r="AD178" s="114"/>
      <c r="AE178"/>
      <c r="AG178">
        <v>1</v>
      </c>
      <c r="AJ178">
        <f t="shared" si="2"/>
        <v>5</v>
      </c>
    </row>
    <row r="179" customHeight="1" spans="13:36">
      <c r="M179" s="137">
        <v>173</v>
      </c>
      <c r="N179">
        <v>7</v>
      </c>
      <c r="Q179" s="113">
        <v>1</v>
      </c>
      <c r="R179" s="114"/>
      <c r="S179"/>
      <c r="U179" s="113">
        <v>1</v>
      </c>
      <c r="V179" s="114"/>
      <c r="W179"/>
      <c r="Y179" s="113">
        <v>1</v>
      </c>
      <c r="Z179" s="114"/>
      <c r="AA179"/>
      <c r="AC179" s="113">
        <v>1</v>
      </c>
      <c r="AD179" s="114"/>
      <c r="AE179"/>
      <c r="AG179">
        <v>1</v>
      </c>
      <c r="AJ179">
        <f t="shared" si="2"/>
        <v>5</v>
      </c>
    </row>
    <row r="180" customHeight="1" spans="13:36">
      <c r="M180" s="130">
        <v>174</v>
      </c>
      <c r="N180">
        <v>8</v>
      </c>
      <c r="R180" s="113">
        <v>1</v>
      </c>
      <c r="V180" s="113">
        <v>1</v>
      </c>
      <c r="Z180" s="113">
        <v>1</v>
      </c>
      <c r="AD180" s="113">
        <v>1</v>
      </c>
      <c r="AH180">
        <v>1</v>
      </c>
      <c r="AJ180">
        <f t="shared" si="2"/>
        <v>5</v>
      </c>
    </row>
    <row r="181" customHeight="1" spans="13:36">
      <c r="M181" s="137">
        <v>175</v>
      </c>
      <c r="N181">
        <v>9</v>
      </c>
      <c r="R181" s="113">
        <v>1</v>
      </c>
      <c r="V181" s="113">
        <v>1</v>
      </c>
      <c r="Z181" s="113">
        <v>1</v>
      </c>
      <c r="AC181">
        <v>1</v>
      </c>
      <c r="AG181">
        <v>1</v>
      </c>
      <c r="AJ181">
        <f t="shared" si="2"/>
        <v>5</v>
      </c>
    </row>
    <row r="182" customHeight="1" spans="13:36">
      <c r="M182" s="130">
        <v>176</v>
      </c>
      <c r="N182">
        <v>10</v>
      </c>
      <c r="R182" s="113">
        <v>1</v>
      </c>
      <c r="V182" s="113">
        <v>1</v>
      </c>
      <c r="Z182" s="113">
        <v>1</v>
      </c>
      <c r="AD182" s="113">
        <v>1</v>
      </c>
      <c r="AH182">
        <v>1</v>
      </c>
      <c r="AJ182">
        <f t="shared" si="2"/>
        <v>5</v>
      </c>
    </row>
    <row r="183" customHeight="1" spans="13:36">
      <c r="M183" s="137">
        <v>177</v>
      </c>
      <c r="N183">
        <v>11</v>
      </c>
      <c r="R183" s="113">
        <v>1</v>
      </c>
      <c r="V183" s="113">
        <v>1</v>
      </c>
      <c r="Z183" s="113">
        <v>1</v>
      </c>
      <c r="AD183" s="113">
        <v>1</v>
      </c>
      <c r="AH183">
        <v>1</v>
      </c>
      <c r="AJ183">
        <f t="shared" si="2"/>
        <v>5</v>
      </c>
    </row>
    <row r="184" customHeight="1" spans="13:36">
      <c r="M184" s="130">
        <v>178</v>
      </c>
      <c r="N184">
        <v>12</v>
      </c>
      <c r="R184" s="113">
        <v>1</v>
      </c>
      <c r="V184" s="113">
        <v>1</v>
      </c>
      <c r="Z184" s="113">
        <v>1</v>
      </c>
      <c r="AD184" s="113">
        <v>1</v>
      </c>
      <c r="AH184">
        <v>1</v>
      </c>
      <c r="AJ184">
        <f t="shared" si="2"/>
        <v>5</v>
      </c>
    </row>
    <row r="185" customHeight="1" spans="13:36">
      <c r="M185" s="137">
        <v>179</v>
      </c>
      <c r="N185">
        <v>13</v>
      </c>
      <c r="Q185" s="113">
        <v>1</v>
      </c>
      <c r="R185" s="114"/>
      <c r="S185"/>
      <c r="U185" s="113">
        <v>1</v>
      </c>
      <c r="V185" s="114"/>
      <c r="W185"/>
      <c r="Y185" s="113">
        <v>1</v>
      </c>
      <c r="Z185" s="114"/>
      <c r="AA185"/>
      <c r="AC185" s="113">
        <v>1</v>
      </c>
      <c r="AD185" s="114"/>
      <c r="AE185"/>
      <c r="AG185">
        <v>1</v>
      </c>
      <c r="AJ185">
        <f t="shared" si="2"/>
        <v>5</v>
      </c>
    </row>
    <row r="186" customHeight="1" spans="13:36">
      <c r="M186" s="130">
        <v>180</v>
      </c>
      <c r="N186">
        <v>14</v>
      </c>
      <c r="Q186" s="113"/>
      <c r="R186" s="114">
        <v>1</v>
      </c>
      <c r="S186"/>
      <c r="U186" s="113"/>
      <c r="V186" s="114">
        <v>1</v>
      </c>
      <c r="W186"/>
      <c r="Y186" s="113">
        <v>1</v>
      </c>
      <c r="Z186" s="114"/>
      <c r="AA186"/>
      <c r="AC186" s="113">
        <v>1</v>
      </c>
      <c r="AD186" s="114"/>
      <c r="AE186"/>
      <c r="AG186">
        <v>1</v>
      </c>
      <c r="AJ186">
        <f t="shared" si="2"/>
        <v>5</v>
      </c>
    </row>
    <row r="187" customHeight="1" spans="13:36">
      <c r="M187" s="137">
        <v>181</v>
      </c>
      <c r="N187">
        <v>15</v>
      </c>
      <c r="Q187" s="113">
        <v>1</v>
      </c>
      <c r="R187" s="114"/>
      <c r="S187"/>
      <c r="U187" s="113">
        <v>1</v>
      </c>
      <c r="V187" s="114"/>
      <c r="W187"/>
      <c r="Y187" s="113">
        <v>1</v>
      </c>
      <c r="Z187" s="114"/>
      <c r="AA187"/>
      <c r="AC187" s="113">
        <v>1</v>
      </c>
      <c r="AD187" s="114"/>
      <c r="AE187"/>
      <c r="AG187">
        <v>1</v>
      </c>
      <c r="AJ187">
        <f t="shared" si="2"/>
        <v>5</v>
      </c>
    </row>
    <row r="188" customHeight="1" spans="13:36">
      <c r="M188" s="130">
        <v>182</v>
      </c>
      <c r="N188">
        <v>16</v>
      </c>
      <c r="Q188" s="113">
        <v>1</v>
      </c>
      <c r="R188" s="114"/>
      <c r="S188"/>
      <c r="U188" s="113">
        <v>1</v>
      </c>
      <c r="V188" s="114"/>
      <c r="W188"/>
      <c r="Y188" s="113">
        <v>1</v>
      </c>
      <c r="Z188" s="114"/>
      <c r="AA188"/>
      <c r="AB188">
        <v>1</v>
      </c>
      <c r="AC188" s="113"/>
      <c r="AD188" s="114"/>
      <c r="AE188"/>
      <c r="AG188">
        <v>1</v>
      </c>
      <c r="AJ188">
        <f t="shared" si="2"/>
        <v>5</v>
      </c>
    </row>
    <row r="189" customHeight="1" spans="13:36">
      <c r="M189" s="137">
        <v>183</v>
      </c>
      <c r="N189">
        <v>17</v>
      </c>
      <c r="R189" s="113">
        <v>1</v>
      </c>
      <c r="V189" s="113">
        <v>1</v>
      </c>
      <c r="Z189" s="113">
        <v>1</v>
      </c>
      <c r="AD189" s="113">
        <v>1</v>
      </c>
      <c r="AH189">
        <v>1</v>
      </c>
      <c r="AJ189">
        <f t="shared" si="2"/>
        <v>5</v>
      </c>
    </row>
    <row r="190" customHeight="1" spans="13:36">
      <c r="M190" s="130">
        <v>184</v>
      </c>
      <c r="N190">
        <v>18</v>
      </c>
      <c r="Q190" s="113">
        <v>1</v>
      </c>
      <c r="R190" s="114"/>
      <c r="S190"/>
      <c r="U190" s="113">
        <v>1</v>
      </c>
      <c r="V190" s="114"/>
      <c r="W190"/>
      <c r="Y190" s="113">
        <v>1</v>
      </c>
      <c r="Z190" s="114"/>
      <c r="AA190"/>
      <c r="AC190" s="113">
        <v>1</v>
      </c>
      <c r="AD190" s="114"/>
      <c r="AE190"/>
      <c r="AG190">
        <v>1</v>
      </c>
      <c r="AJ190">
        <f t="shared" si="2"/>
        <v>5</v>
      </c>
    </row>
    <row r="191" customHeight="1" spans="13:36">
      <c r="M191" s="137">
        <v>185</v>
      </c>
      <c r="N191">
        <v>19</v>
      </c>
      <c r="Q191" s="113">
        <v>1</v>
      </c>
      <c r="R191" s="114"/>
      <c r="S191"/>
      <c r="U191" s="113">
        <v>1</v>
      </c>
      <c r="V191" s="114"/>
      <c r="W191"/>
      <c r="Y191" s="113">
        <v>1</v>
      </c>
      <c r="Z191" s="114"/>
      <c r="AA191"/>
      <c r="AC191" s="113">
        <v>1</v>
      </c>
      <c r="AD191" s="114"/>
      <c r="AE191"/>
      <c r="AG191">
        <v>1</v>
      </c>
      <c r="AJ191">
        <f t="shared" si="2"/>
        <v>5</v>
      </c>
    </row>
    <row r="192" customHeight="1" spans="13:36">
      <c r="M192" s="130">
        <v>186</v>
      </c>
      <c r="N192">
        <v>20</v>
      </c>
      <c r="R192" s="113">
        <v>1</v>
      </c>
      <c r="V192" s="113">
        <v>1</v>
      </c>
      <c r="Z192" s="113">
        <v>1</v>
      </c>
      <c r="AD192" s="113">
        <v>1</v>
      </c>
      <c r="AH192">
        <v>1</v>
      </c>
      <c r="AJ192">
        <f t="shared" si="2"/>
        <v>5</v>
      </c>
    </row>
    <row r="193" customHeight="1" spans="13:36">
      <c r="M193" s="137">
        <v>187</v>
      </c>
      <c r="N193">
        <v>21</v>
      </c>
      <c r="Q193" s="113">
        <v>1</v>
      </c>
      <c r="R193" s="114"/>
      <c r="S193"/>
      <c r="U193" s="113">
        <v>1</v>
      </c>
      <c r="V193" s="114"/>
      <c r="W193"/>
      <c r="Y193" s="113">
        <v>1</v>
      </c>
      <c r="Z193" s="114"/>
      <c r="AA193"/>
      <c r="AC193" s="113">
        <v>1</v>
      </c>
      <c r="AD193" s="114"/>
      <c r="AE193"/>
      <c r="AG193">
        <v>1</v>
      </c>
      <c r="AJ193">
        <f t="shared" si="2"/>
        <v>5</v>
      </c>
    </row>
    <row r="194" customHeight="1" spans="13:36">
      <c r="M194" s="130">
        <v>188</v>
      </c>
      <c r="N194">
        <v>22</v>
      </c>
      <c r="Q194" s="113">
        <v>1</v>
      </c>
      <c r="R194" s="114"/>
      <c r="S194"/>
      <c r="U194" s="113">
        <v>1</v>
      </c>
      <c r="V194" s="114"/>
      <c r="W194"/>
      <c r="Y194" s="113">
        <v>1</v>
      </c>
      <c r="Z194" s="114"/>
      <c r="AA194"/>
      <c r="AC194" s="113">
        <v>1</v>
      </c>
      <c r="AD194" s="114"/>
      <c r="AE194"/>
      <c r="AG194">
        <v>1</v>
      </c>
      <c r="AJ194">
        <f t="shared" si="2"/>
        <v>5</v>
      </c>
    </row>
    <row r="195" customHeight="1" spans="13:36">
      <c r="M195" s="137">
        <v>189</v>
      </c>
      <c r="N195">
        <v>23</v>
      </c>
      <c r="R195" s="113">
        <v>1</v>
      </c>
      <c r="V195" s="113">
        <v>1</v>
      </c>
      <c r="Z195" s="113">
        <v>1</v>
      </c>
      <c r="AD195" s="113">
        <v>1</v>
      </c>
      <c r="AH195">
        <v>1</v>
      </c>
      <c r="AJ195">
        <f t="shared" ref="AJ195:AJ254" si="3">SUM(O195:AH195)</f>
        <v>5</v>
      </c>
    </row>
    <row r="196" customHeight="1" spans="13:36">
      <c r="M196" s="130">
        <v>190</v>
      </c>
      <c r="N196">
        <v>24</v>
      </c>
      <c r="R196" s="113">
        <v>1</v>
      </c>
      <c r="V196" s="113">
        <v>1</v>
      </c>
      <c r="Z196" s="113">
        <v>1</v>
      </c>
      <c r="AD196" s="113">
        <v>1</v>
      </c>
      <c r="AH196">
        <v>1</v>
      </c>
      <c r="AJ196">
        <f t="shared" si="3"/>
        <v>5</v>
      </c>
    </row>
    <row r="197" customHeight="1" spans="13:36">
      <c r="M197" s="137">
        <v>191</v>
      </c>
      <c r="N197">
        <v>25</v>
      </c>
      <c r="Q197" s="113">
        <v>1</v>
      </c>
      <c r="R197" s="114"/>
      <c r="S197"/>
      <c r="U197" s="113">
        <v>1</v>
      </c>
      <c r="V197" s="114"/>
      <c r="W197"/>
      <c r="Y197" s="113">
        <v>1</v>
      </c>
      <c r="Z197" s="114"/>
      <c r="AA197"/>
      <c r="AC197" s="113">
        <v>1</v>
      </c>
      <c r="AD197" s="114"/>
      <c r="AE197"/>
      <c r="AG197">
        <v>1</v>
      </c>
      <c r="AJ197">
        <f t="shared" si="3"/>
        <v>5</v>
      </c>
    </row>
    <row r="198" customHeight="1" spans="13:36">
      <c r="M198" s="130">
        <v>192</v>
      </c>
      <c r="N198">
        <v>26</v>
      </c>
      <c r="Q198" s="113">
        <v>1</v>
      </c>
      <c r="R198" s="114"/>
      <c r="S198"/>
      <c r="U198" s="113">
        <v>1</v>
      </c>
      <c r="V198" s="114"/>
      <c r="W198"/>
      <c r="Y198" s="113">
        <v>1</v>
      </c>
      <c r="Z198" s="114"/>
      <c r="AA198"/>
      <c r="AC198" s="113">
        <v>1</v>
      </c>
      <c r="AD198" s="114"/>
      <c r="AE198"/>
      <c r="AG198">
        <v>1</v>
      </c>
      <c r="AJ198">
        <f t="shared" si="3"/>
        <v>5</v>
      </c>
    </row>
    <row r="199" customHeight="1" spans="13:36">
      <c r="M199" s="137">
        <v>193</v>
      </c>
      <c r="N199">
        <v>27</v>
      </c>
      <c r="Q199" s="113">
        <v>1</v>
      </c>
      <c r="R199" s="114"/>
      <c r="S199"/>
      <c r="U199" s="113">
        <v>1</v>
      </c>
      <c r="V199" s="114"/>
      <c r="W199"/>
      <c r="Y199" s="113">
        <v>1</v>
      </c>
      <c r="Z199" s="114"/>
      <c r="AA199"/>
      <c r="AB199">
        <v>1</v>
      </c>
      <c r="AC199" s="113"/>
      <c r="AD199" s="114"/>
      <c r="AE199"/>
      <c r="AF199">
        <v>1</v>
      </c>
      <c r="AJ199">
        <f t="shared" si="3"/>
        <v>5</v>
      </c>
    </row>
    <row r="200" customHeight="1" spans="13:36">
      <c r="M200" s="130">
        <v>194</v>
      </c>
      <c r="N200">
        <v>28</v>
      </c>
      <c r="R200" s="113">
        <v>1</v>
      </c>
      <c r="V200" s="113">
        <v>1</v>
      </c>
      <c r="Z200" s="113">
        <v>1</v>
      </c>
      <c r="AD200" s="113">
        <v>1</v>
      </c>
      <c r="AH200">
        <v>1</v>
      </c>
      <c r="AJ200">
        <f t="shared" si="3"/>
        <v>5</v>
      </c>
    </row>
    <row r="201" customHeight="1" spans="13:36">
      <c r="M201" s="137">
        <v>195</v>
      </c>
      <c r="N201">
        <v>29</v>
      </c>
      <c r="Q201" s="113">
        <v>1</v>
      </c>
      <c r="R201" s="114"/>
      <c r="S201"/>
      <c r="U201" s="113">
        <v>1</v>
      </c>
      <c r="V201" s="114"/>
      <c r="W201"/>
      <c r="Y201" s="113">
        <v>1</v>
      </c>
      <c r="Z201" s="114"/>
      <c r="AA201"/>
      <c r="AC201" s="113">
        <v>1</v>
      </c>
      <c r="AD201" s="114"/>
      <c r="AE201"/>
      <c r="AG201">
        <v>1</v>
      </c>
      <c r="AJ201">
        <f t="shared" si="3"/>
        <v>5</v>
      </c>
    </row>
    <row r="202" customHeight="1" spans="13:36">
      <c r="M202" s="130">
        <v>196</v>
      </c>
      <c r="N202">
        <v>30</v>
      </c>
      <c r="Q202" s="113">
        <v>1</v>
      </c>
      <c r="R202" s="114"/>
      <c r="S202"/>
      <c r="U202" s="113">
        <v>1</v>
      </c>
      <c r="V202" s="114"/>
      <c r="W202"/>
      <c r="Y202" s="113">
        <v>1</v>
      </c>
      <c r="Z202" s="114"/>
      <c r="AA202"/>
      <c r="AC202" s="113">
        <v>1</v>
      </c>
      <c r="AD202" s="114"/>
      <c r="AE202"/>
      <c r="AG202">
        <v>1</v>
      </c>
      <c r="AJ202">
        <f t="shared" si="3"/>
        <v>5</v>
      </c>
    </row>
    <row r="203" customHeight="1" spans="13:36">
      <c r="M203" s="137">
        <v>197</v>
      </c>
      <c r="N203">
        <v>31</v>
      </c>
      <c r="Q203" s="113">
        <v>1</v>
      </c>
      <c r="R203" s="114"/>
      <c r="S203"/>
      <c r="U203" s="113">
        <v>1</v>
      </c>
      <c r="V203" s="114"/>
      <c r="W203"/>
      <c r="X203">
        <v>1</v>
      </c>
      <c r="Y203" s="113"/>
      <c r="Z203" s="114"/>
      <c r="AA203"/>
      <c r="AB203">
        <v>1</v>
      </c>
      <c r="AC203" s="113"/>
      <c r="AD203" s="114"/>
      <c r="AE203"/>
      <c r="AG203">
        <v>1</v>
      </c>
      <c r="AJ203">
        <f t="shared" si="3"/>
        <v>5</v>
      </c>
    </row>
    <row r="204" customHeight="1" spans="13:36">
      <c r="M204" s="137">
        <v>198</v>
      </c>
      <c r="N204">
        <v>32</v>
      </c>
      <c r="Q204" s="113">
        <v>1</v>
      </c>
      <c r="R204" s="114"/>
      <c r="S204"/>
      <c r="U204" s="113">
        <v>1</v>
      </c>
      <c r="V204" s="114"/>
      <c r="W204"/>
      <c r="Y204" s="113">
        <v>1</v>
      </c>
      <c r="Z204" s="114"/>
      <c r="AA204"/>
      <c r="AC204" s="113">
        <v>1</v>
      </c>
      <c r="AD204" s="114"/>
      <c r="AE204"/>
      <c r="AG204">
        <v>1</v>
      </c>
      <c r="AJ204">
        <f t="shared" si="3"/>
        <v>5</v>
      </c>
    </row>
    <row r="205" customHeight="1" spans="13:36">
      <c r="M205" s="130">
        <v>199</v>
      </c>
      <c r="N205">
        <v>33</v>
      </c>
      <c r="R205" s="113">
        <v>1</v>
      </c>
      <c r="V205" s="113">
        <v>1</v>
      </c>
      <c r="Z205" s="113">
        <v>1</v>
      </c>
      <c r="AD205" s="113">
        <v>1</v>
      </c>
      <c r="AH205">
        <v>1</v>
      </c>
      <c r="AJ205">
        <f t="shared" si="3"/>
        <v>5</v>
      </c>
    </row>
    <row r="206" customHeight="1" spans="13:36">
      <c r="M206" s="137">
        <v>200</v>
      </c>
      <c r="N206">
        <v>34</v>
      </c>
      <c r="R206" s="113">
        <v>1</v>
      </c>
      <c r="V206" s="113">
        <v>1</v>
      </c>
      <c r="Z206" s="113">
        <v>1</v>
      </c>
      <c r="AD206" s="113">
        <v>1</v>
      </c>
      <c r="AH206">
        <v>1</v>
      </c>
      <c r="AJ206">
        <f t="shared" si="3"/>
        <v>5</v>
      </c>
    </row>
    <row r="207" customHeight="1" spans="13:36">
      <c r="M207" s="130">
        <v>201</v>
      </c>
      <c r="N207">
        <v>35</v>
      </c>
      <c r="Q207" s="113">
        <v>1</v>
      </c>
      <c r="R207" s="114"/>
      <c r="S207"/>
      <c r="U207" s="113">
        <v>1</v>
      </c>
      <c r="V207" s="114"/>
      <c r="W207"/>
      <c r="Y207" s="113">
        <v>1</v>
      </c>
      <c r="Z207" s="114"/>
      <c r="AA207"/>
      <c r="AC207" s="113">
        <v>1</v>
      </c>
      <c r="AD207" s="114"/>
      <c r="AE207"/>
      <c r="AG207">
        <v>1</v>
      </c>
      <c r="AJ207">
        <f t="shared" si="3"/>
        <v>5</v>
      </c>
    </row>
    <row r="208" customHeight="1" spans="13:36">
      <c r="M208" s="137">
        <v>202</v>
      </c>
      <c r="N208">
        <v>36</v>
      </c>
      <c r="Q208" s="113">
        <v>1</v>
      </c>
      <c r="R208" s="114"/>
      <c r="S208"/>
      <c r="U208" s="113">
        <v>1</v>
      </c>
      <c r="V208" s="114"/>
      <c r="W208"/>
      <c r="Y208" s="113">
        <v>1</v>
      </c>
      <c r="Z208" s="114"/>
      <c r="AA208"/>
      <c r="AC208" s="113">
        <v>1</v>
      </c>
      <c r="AD208" s="114"/>
      <c r="AE208"/>
      <c r="AG208">
        <v>1</v>
      </c>
      <c r="AJ208">
        <f t="shared" si="3"/>
        <v>5</v>
      </c>
    </row>
    <row r="209" customHeight="1" spans="13:36">
      <c r="M209" s="130">
        <v>203</v>
      </c>
      <c r="N209">
        <v>37</v>
      </c>
      <c r="Q209" s="113">
        <v>1</v>
      </c>
      <c r="R209" s="114"/>
      <c r="S209"/>
      <c r="U209" s="113">
        <v>1</v>
      </c>
      <c r="V209" s="114"/>
      <c r="W209"/>
      <c r="Y209" s="113">
        <v>1</v>
      </c>
      <c r="Z209" s="114"/>
      <c r="AA209"/>
      <c r="AC209" s="113">
        <v>1</v>
      </c>
      <c r="AD209" s="114"/>
      <c r="AE209"/>
      <c r="AG209">
        <v>1</v>
      </c>
      <c r="AJ209">
        <f t="shared" si="3"/>
        <v>5</v>
      </c>
    </row>
    <row r="210" customHeight="1" spans="13:36">
      <c r="M210" s="137">
        <v>204</v>
      </c>
      <c r="N210">
        <v>38</v>
      </c>
      <c r="Q210" s="113">
        <v>1</v>
      </c>
      <c r="R210" s="114"/>
      <c r="S210"/>
      <c r="U210" s="113">
        <v>1</v>
      </c>
      <c r="V210" s="114"/>
      <c r="W210"/>
      <c r="Y210" s="113">
        <v>1</v>
      </c>
      <c r="Z210" s="114"/>
      <c r="AA210"/>
      <c r="AC210" s="113">
        <v>1</v>
      </c>
      <c r="AD210" s="114"/>
      <c r="AE210"/>
      <c r="AG210">
        <v>1</v>
      </c>
      <c r="AJ210">
        <f t="shared" si="3"/>
        <v>5</v>
      </c>
    </row>
    <row r="211" customHeight="1" spans="13:36">
      <c r="M211" s="130">
        <v>205</v>
      </c>
      <c r="N211">
        <v>39</v>
      </c>
      <c r="R211" s="113">
        <v>1</v>
      </c>
      <c r="V211" s="113">
        <v>1</v>
      </c>
      <c r="Z211" s="113">
        <v>1</v>
      </c>
      <c r="AD211" s="113">
        <v>1</v>
      </c>
      <c r="AH211">
        <v>1</v>
      </c>
      <c r="AJ211">
        <f t="shared" si="3"/>
        <v>5</v>
      </c>
    </row>
    <row r="212" customHeight="1" spans="13:36">
      <c r="M212" s="137">
        <v>206</v>
      </c>
      <c r="N212">
        <v>40</v>
      </c>
      <c r="Q212" s="113">
        <v>1</v>
      </c>
      <c r="R212" s="114"/>
      <c r="S212"/>
      <c r="U212" s="113">
        <v>1</v>
      </c>
      <c r="V212" s="114"/>
      <c r="W212"/>
      <c r="Y212" s="113">
        <v>1</v>
      </c>
      <c r="Z212" s="114"/>
      <c r="AA212"/>
      <c r="AC212" s="113">
        <v>1</v>
      </c>
      <c r="AD212" s="114"/>
      <c r="AE212"/>
      <c r="AG212">
        <v>1</v>
      </c>
      <c r="AJ212">
        <f t="shared" si="3"/>
        <v>5</v>
      </c>
    </row>
    <row r="213" customHeight="1" spans="13:36">
      <c r="M213" s="130">
        <v>207</v>
      </c>
      <c r="N213">
        <v>41</v>
      </c>
      <c r="Q213" s="113">
        <v>1</v>
      </c>
      <c r="R213" s="114"/>
      <c r="S213"/>
      <c r="U213" s="113">
        <v>1</v>
      </c>
      <c r="V213" s="114"/>
      <c r="W213"/>
      <c r="Y213" s="113">
        <v>1</v>
      </c>
      <c r="Z213" s="114"/>
      <c r="AA213"/>
      <c r="AC213" s="113">
        <v>1</v>
      </c>
      <c r="AD213" s="114"/>
      <c r="AE213"/>
      <c r="AG213">
        <v>1</v>
      </c>
      <c r="AJ213">
        <f t="shared" si="3"/>
        <v>5</v>
      </c>
    </row>
    <row r="214" customHeight="1" spans="13:36">
      <c r="M214" s="137">
        <v>208</v>
      </c>
      <c r="N214">
        <v>42</v>
      </c>
      <c r="R214" s="113">
        <v>1</v>
      </c>
      <c r="V214" s="113">
        <v>1</v>
      </c>
      <c r="Z214" s="113">
        <v>1</v>
      </c>
      <c r="AD214" s="113">
        <v>1</v>
      </c>
      <c r="AH214">
        <v>1</v>
      </c>
      <c r="AJ214">
        <f t="shared" si="3"/>
        <v>5</v>
      </c>
    </row>
    <row r="215" customHeight="1" spans="13:36">
      <c r="M215" s="130">
        <v>209</v>
      </c>
      <c r="N215">
        <v>43</v>
      </c>
      <c r="R215" s="113">
        <v>1</v>
      </c>
      <c r="V215" s="113">
        <v>1</v>
      </c>
      <c r="Z215" s="113">
        <v>1</v>
      </c>
      <c r="AD215" s="113">
        <v>1</v>
      </c>
      <c r="AH215">
        <v>1</v>
      </c>
      <c r="AJ215">
        <f t="shared" si="3"/>
        <v>5</v>
      </c>
    </row>
    <row r="216" customHeight="1" spans="13:36">
      <c r="M216" s="137">
        <v>210</v>
      </c>
      <c r="N216">
        <v>44</v>
      </c>
      <c r="R216" s="113">
        <v>1</v>
      </c>
      <c r="V216" s="113">
        <v>1</v>
      </c>
      <c r="Z216" s="113">
        <v>1</v>
      </c>
      <c r="AD216" s="113">
        <v>1</v>
      </c>
      <c r="AH216">
        <v>1</v>
      </c>
      <c r="AJ216">
        <f t="shared" si="3"/>
        <v>5</v>
      </c>
    </row>
    <row r="217" customHeight="1" spans="13:36">
      <c r="M217" s="130">
        <v>211</v>
      </c>
      <c r="N217">
        <v>45</v>
      </c>
      <c r="R217" s="113">
        <v>1</v>
      </c>
      <c r="V217" s="113">
        <v>1</v>
      </c>
      <c r="Z217" s="113">
        <v>1</v>
      </c>
      <c r="AD217" s="113">
        <v>1</v>
      </c>
      <c r="AH217">
        <v>1</v>
      </c>
      <c r="AJ217">
        <f t="shared" si="3"/>
        <v>5</v>
      </c>
    </row>
    <row r="218" customHeight="1" spans="13:36">
      <c r="M218" s="137">
        <v>212</v>
      </c>
      <c r="N218">
        <v>46</v>
      </c>
      <c r="R218" s="113">
        <v>1</v>
      </c>
      <c r="V218" s="113">
        <v>1</v>
      </c>
      <c r="Z218" s="113">
        <v>1</v>
      </c>
      <c r="AD218" s="113">
        <v>1</v>
      </c>
      <c r="AG218">
        <v>1</v>
      </c>
      <c r="AJ218">
        <f t="shared" si="3"/>
        <v>5</v>
      </c>
    </row>
    <row r="219" customHeight="1" spans="13:36">
      <c r="M219" s="130">
        <v>213</v>
      </c>
      <c r="N219">
        <v>47</v>
      </c>
      <c r="Q219" s="113">
        <v>1</v>
      </c>
      <c r="R219" s="114"/>
      <c r="S219"/>
      <c r="U219" s="113"/>
      <c r="V219" s="114">
        <v>1</v>
      </c>
      <c r="W219"/>
      <c r="Y219" s="113"/>
      <c r="Z219" s="114">
        <v>1</v>
      </c>
      <c r="AA219"/>
      <c r="AC219" s="113">
        <v>1</v>
      </c>
      <c r="AD219" s="114"/>
      <c r="AE219"/>
      <c r="AG219">
        <v>1</v>
      </c>
      <c r="AJ219">
        <f t="shared" si="3"/>
        <v>5</v>
      </c>
    </row>
    <row r="220" customHeight="1" spans="13:36">
      <c r="M220" s="137">
        <v>214</v>
      </c>
      <c r="N220">
        <v>48</v>
      </c>
      <c r="Q220">
        <v>1</v>
      </c>
      <c r="V220" s="113">
        <v>1</v>
      </c>
      <c r="Z220" s="113">
        <v>1</v>
      </c>
      <c r="AD220" s="113">
        <v>1</v>
      </c>
      <c r="AG220">
        <v>1</v>
      </c>
      <c r="AJ220">
        <f t="shared" si="3"/>
        <v>5</v>
      </c>
    </row>
    <row r="221" customHeight="1" spans="13:36">
      <c r="M221" s="130">
        <v>215</v>
      </c>
      <c r="N221">
        <v>49</v>
      </c>
      <c r="Q221" s="113"/>
      <c r="R221" s="114">
        <v>1</v>
      </c>
      <c r="S221"/>
      <c r="U221" s="113"/>
      <c r="V221" s="114">
        <v>1</v>
      </c>
      <c r="W221"/>
      <c r="Y221" s="113">
        <v>1</v>
      </c>
      <c r="Z221" s="114"/>
      <c r="AA221"/>
      <c r="AC221" s="113">
        <v>1</v>
      </c>
      <c r="AD221" s="114"/>
      <c r="AE221"/>
      <c r="AG221">
        <v>1</v>
      </c>
      <c r="AJ221">
        <f t="shared" si="3"/>
        <v>5</v>
      </c>
    </row>
    <row r="222" customHeight="1" spans="13:36">
      <c r="M222" s="137"/>
      <c r="N222" s="156" t="s">
        <v>44</v>
      </c>
      <c r="AJ222">
        <f t="shared" si="3"/>
        <v>0</v>
      </c>
    </row>
    <row r="223" customHeight="1" spans="13:36">
      <c r="M223" s="130">
        <v>216</v>
      </c>
      <c r="N223">
        <v>1</v>
      </c>
      <c r="Q223" s="113">
        <v>1</v>
      </c>
      <c r="R223" s="114"/>
      <c r="S223"/>
      <c r="U223" s="113">
        <v>1</v>
      </c>
      <c r="V223" s="114"/>
      <c r="W223"/>
      <c r="Y223" s="113">
        <v>1</v>
      </c>
      <c r="Z223" s="114"/>
      <c r="AA223"/>
      <c r="AC223" s="113">
        <v>1</v>
      </c>
      <c r="AD223" s="114"/>
      <c r="AE223"/>
      <c r="AG223">
        <v>1</v>
      </c>
      <c r="AJ223">
        <f t="shared" si="3"/>
        <v>5</v>
      </c>
    </row>
    <row r="224" customHeight="1" spans="13:36">
      <c r="M224" s="137">
        <v>217</v>
      </c>
      <c r="N224">
        <v>2</v>
      </c>
      <c r="Q224" s="113"/>
      <c r="R224" s="114">
        <v>1</v>
      </c>
      <c r="S224"/>
      <c r="U224" s="113"/>
      <c r="V224" s="114">
        <v>1</v>
      </c>
      <c r="W224"/>
      <c r="Y224" s="113">
        <v>1</v>
      </c>
      <c r="Z224" s="114"/>
      <c r="AA224"/>
      <c r="AC224" s="113">
        <v>1</v>
      </c>
      <c r="AD224" s="114"/>
      <c r="AE224"/>
      <c r="AG224">
        <v>1</v>
      </c>
      <c r="AJ224">
        <f t="shared" si="3"/>
        <v>5</v>
      </c>
    </row>
    <row r="225" customHeight="1" spans="13:36">
      <c r="M225" s="130">
        <v>218</v>
      </c>
      <c r="N225">
        <v>3</v>
      </c>
      <c r="Q225">
        <v>1</v>
      </c>
      <c r="V225" s="113">
        <v>1</v>
      </c>
      <c r="Z225" s="113">
        <v>1</v>
      </c>
      <c r="AD225" s="113">
        <v>1</v>
      </c>
      <c r="AH225">
        <v>1</v>
      </c>
      <c r="AJ225">
        <f t="shared" si="3"/>
        <v>5</v>
      </c>
    </row>
    <row r="226" customHeight="1" spans="13:36">
      <c r="M226" s="137">
        <v>219</v>
      </c>
      <c r="N226">
        <v>4</v>
      </c>
      <c r="R226" s="113">
        <v>1</v>
      </c>
      <c r="V226" s="113">
        <v>1</v>
      </c>
      <c r="Z226" s="113">
        <v>1</v>
      </c>
      <c r="AD226" s="113">
        <v>1</v>
      </c>
      <c r="AH226">
        <v>1</v>
      </c>
      <c r="AJ226">
        <f t="shared" si="3"/>
        <v>5</v>
      </c>
    </row>
    <row r="227" customHeight="1" spans="13:36">
      <c r="M227" s="130">
        <v>220</v>
      </c>
      <c r="N227">
        <v>5</v>
      </c>
      <c r="Q227" s="113">
        <v>1</v>
      </c>
      <c r="R227" s="114"/>
      <c r="S227"/>
      <c r="U227" s="113">
        <v>1</v>
      </c>
      <c r="V227" s="114"/>
      <c r="W227"/>
      <c r="Y227" s="113">
        <v>1</v>
      </c>
      <c r="Z227" s="114"/>
      <c r="AA227"/>
      <c r="AC227" s="113">
        <v>1</v>
      </c>
      <c r="AD227" s="114"/>
      <c r="AE227"/>
      <c r="AG227">
        <v>1</v>
      </c>
      <c r="AJ227">
        <f t="shared" si="3"/>
        <v>5</v>
      </c>
    </row>
    <row r="228" customHeight="1" spans="13:36">
      <c r="M228" s="137">
        <v>221</v>
      </c>
      <c r="N228">
        <v>6</v>
      </c>
      <c r="Q228" s="113">
        <v>1</v>
      </c>
      <c r="R228" s="114"/>
      <c r="S228"/>
      <c r="U228" s="113"/>
      <c r="V228" s="114">
        <v>1</v>
      </c>
      <c r="W228"/>
      <c r="Y228" s="113"/>
      <c r="Z228" s="114">
        <v>1</v>
      </c>
      <c r="AA228"/>
      <c r="AC228" s="113">
        <v>1</v>
      </c>
      <c r="AD228" s="114"/>
      <c r="AE228"/>
      <c r="AG228">
        <v>1</v>
      </c>
      <c r="AJ228">
        <f t="shared" si="3"/>
        <v>5</v>
      </c>
    </row>
    <row r="229" customHeight="1" spans="13:36">
      <c r="M229" s="130">
        <v>222</v>
      </c>
      <c r="N229">
        <v>7</v>
      </c>
      <c r="R229" s="113">
        <v>1</v>
      </c>
      <c r="V229" s="113">
        <v>1</v>
      </c>
      <c r="Z229" s="113">
        <v>1</v>
      </c>
      <c r="AD229" s="113">
        <v>1</v>
      </c>
      <c r="AH229">
        <v>1</v>
      </c>
      <c r="AJ229">
        <f t="shared" si="3"/>
        <v>5</v>
      </c>
    </row>
    <row r="230" customHeight="1" spans="13:36">
      <c r="M230" s="137">
        <v>223</v>
      </c>
      <c r="N230">
        <v>8</v>
      </c>
      <c r="Q230" s="113">
        <v>1</v>
      </c>
      <c r="R230" s="114"/>
      <c r="S230"/>
      <c r="U230" s="113">
        <v>1</v>
      </c>
      <c r="V230" s="114"/>
      <c r="W230"/>
      <c r="Y230" s="113">
        <v>1</v>
      </c>
      <c r="Z230" s="114"/>
      <c r="AA230"/>
      <c r="AC230" s="113">
        <v>1</v>
      </c>
      <c r="AD230" s="114"/>
      <c r="AE230"/>
      <c r="AG230">
        <v>1</v>
      </c>
      <c r="AJ230">
        <f t="shared" si="3"/>
        <v>5</v>
      </c>
    </row>
    <row r="231" customHeight="1" spans="13:36">
      <c r="M231" s="130">
        <v>224</v>
      </c>
      <c r="N231">
        <v>9</v>
      </c>
      <c r="Q231" s="113">
        <v>1</v>
      </c>
      <c r="R231" s="114"/>
      <c r="S231"/>
      <c r="U231" s="113">
        <v>1</v>
      </c>
      <c r="V231" s="114"/>
      <c r="W231"/>
      <c r="Y231" s="113">
        <v>1</v>
      </c>
      <c r="Z231" s="114"/>
      <c r="AA231"/>
      <c r="AC231" s="113">
        <v>1</v>
      </c>
      <c r="AD231" s="114"/>
      <c r="AE231"/>
      <c r="AG231">
        <v>1</v>
      </c>
      <c r="AJ231">
        <f t="shared" si="3"/>
        <v>5</v>
      </c>
    </row>
    <row r="232" customHeight="1" spans="13:36">
      <c r="M232" s="137">
        <v>225</v>
      </c>
      <c r="N232">
        <v>10</v>
      </c>
      <c r="R232" s="113">
        <v>1</v>
      </c>
      <c r="V232" s="113">
        <v>1</v>
      </c>
      <c r="Z232" s="113">
        <v>1</v>
      </c>
      <c r="AD232" s="113">
        <v>1</v>
      </c>
      <c r="AH232">
        <v>1</v>
      </c>
      <c r="AJ232">
        <f t="shared" si="3"/>
        <v>5</v>
      </c>
    </row>
    <row r="233" customHeight="1" spans="13:36">
      <c r="M233" s="130">
        <v>226</v>
      </c>
      <c r="N233">
        <v>11</v>
      </c>
      <c r="R233" s="113">
        <v>1</v>
      </c>
      <c r="V233" s="113">
        <v>1</v>
      </c>
      <c r="Z233" s="113">
        <v>1</v>
      </c>
      <c r="AD233" s="113">
        <v>1</v>
      </c>
      <c r="AH233">
        <v>1</v>
      </c>
      <c r="AJ233">
        <f t="shared" si="3"/>
        <v>5</v>
      </c>
    </row>
    <row r="234" customHeight="1" spans="13:36">
      <c r="M234" s="137">
        <v>227</v>
      </c>
      <c r="N234">
        <v>12</v>
      </c>
      <c r="R234" s="113">
        <v>1</v>
      </c>
      <c r="V234" s="113">
        <v>1</v>
      </c>
      <c r="Z234" s="113">
        <v>1</v>
      </c>
      <c r="AD234" s="113">
        <v>1</v>
      </c>
      <c r="AH234">
        <v>1</v>
      </c>
      <c r="AJ234">
        <f t="shared" si="3"/>
        <v>5</v>
      </c>
    </row>
    <row r="235" customHeight="1" spans="13:36">
      <c r="M235" s="130">
        <v>228</v>
      </c>
      <c r="N235">
        <v>13</v>
      </c>
      <c r="R235" s="113">
        <v>1</v>
      </c>
      <c r="V235" s="113">
        <v>1</v>
      </c>
      <c r="Z235" s="113">
        <v>1</v>
      </c>
      <c r="AD235" s="113">
        <v>1</v>
      </c>
      <c r="AH235">
        <v>1</v>
      </c>
      <c r="AJ235">
        <f t="shared" si="3"/>
        <v>5</v>
      </c>
    </row>
    <row r="236" customHeight="1" spans="13:36">
      <c r="M236" s="137">
        <v>229</v>
      </c>
      <c r="N236">
        <v>14</v>
      </c>
      <c r="R236" s="113">
        <v>1</v>
      </c>
      <c r="V236" s="113">
        <v>1</v>
      </c>
      <c r="Z236" s="113">
        <v>1</v>
      </c>
      <c r="AD236" s="113">
        <v>1</v>
      </c>
      <c r="AH236">
        <v>1</v>
      </c>
      <c r="AJ236">
        <f t="shared" si="3"/>
        <v>5</v>
      </c>
    </row>
    <row r="237" customHeight="1" spans="13:36">
      <c r="M237" s="130">
        <v>230</v>
      </c>
      <c r="N237">
        <v>15</v>
      </c>
      <c r="R237" s="113">
        <v>1</v>
      </c>
      <c r="V237" s="113">
        <v>1</v>
      </c>
      <c r="Z237" s="113">
        <v>1</v>
      </c>
      <c r="AD237" s="113">
        <v>1</v>
      </c>
      <c r="AH237">
        <v>1</v>
      </c>
      <c r="AJ237">
        <f t="shared" si="3"/>
        <v>5</v>
      </c>
    </row>
    <row r="238" customHeight="1" spans="13:36">
      <c r="M238" s="137">
        <v>231</v>
      </c>
      <c r="N238">
        <v>16</v>
      </c>
      <c r="Q238" s="113">
        <v>1</v>
      </c>
      <c r="R238" s="114"/>
      <c r="S238"/>
      <c r="U238" s="113">
        <v>1</v>
      </c>
      <c r="V238" s="114"/>
      <c r="W238"/>
      <c r="Y238" s="113">
        <v>1</v>
      </c>
      <c r="Z238" s="114"/>
      <c r="AA238"/>
      <c r="AC238" s="113">
        <v>1</v>
      </c>
      <c r="AD238" s="114"/>
      <c r="AE238"/>
      <c r="AG238">
        <v>1</v>
      </c>
      <c r="AJ238">
        <f t="shared" si="3"/>
        <v>5</v>
      </c>
    </row>
    <row r="239" customHeight="1" spans="13:36">
      <c r="M239" s="130">
        <v>232</v>
      </c>
      <c r="N239">
        <v>17</v>
      </c>
      <c r="R239" s="113">
        <v>1</v>
      </c>
      <c r="V239" s="113">
        <v>1</v>
      </c>
      <c r="Z239" s="113">
        <v>1</v>
      </c>
      <c r="AD239" s="113">
        <v>1</v>
      </c>
      <c r="AH239">
        <v>1</v>
      </c>
      <c r="AJ239">
        <f t="shared" si="3"/>
        <v>5</v>
      </c>
    </row>
    <row r="240" customHeight="1" spans="13:36">
      <c r="M240" s="137">
        <v>233</v>
      </c>
      <c r="N240">
        <v>18</v>
      </c>
      <c r="Q240" s="113">
        <v>1</v>
      </c>
      <c r="R240" s="114"/>
      <c r="S240"/>
      <c r="U240" s="113">
        <v>1</v>
      </c>
      <c r="V240" s="114"/>
      <c r="W240"/>
      <c r="Y240" s="113">
        <v>1</v>
      </c>
      <c r="Z240" s="114"/>
      <c r="AA240"/>
      <c r="AC240" s="113">
        <v>1</v>
      </c>
      <c r="AD240" s="114"/>
      <c r="AE240"/>
      <c r="AG240">
        <v>1</v>
      </c>
      <c r="AJ240">
        <f t="shared" si="3"/>
        <v>5</v>
      </c>
    </row>
    <row r="241" customHeight="1" spans="13:36">
      <c r="M241" s="130">
        <v>234</v>
      </c>
      <c r="N241">
        <v>19</v>
      </c>
      <c r="Q241" s="113">
        <v>1</v>
      </c>
      <c r="R241" s="114"/>
      <c r="S241"/>
      <c r="U241" s="113">
        <v>1</v>
      </c>
      <c r="V241" s="114"/>
      <c r="W241"/>
      <c r="Y241" s="113">
        <v>1</v>
      </c>
      <c r="Z241" s="114"/>
      <c r="AA241"/>
      <c r="AC241" s="113">
        <v>1</v>
      </c>
      <c r="AD241" s="114"/>
      <c r="AE241"/>
      <c r="AG241">
        <v>1</v>
      </c>
      <c r="AJ241">
        <f t="shared" si="3"/>
        <v>5</v>
      </c>
    </row>
    <row r="242" customHeight="1" spans="13:36">
      <c r="M242" s="137">
        <v>235</v>
      </c>
      <c r="N242">
        <v>20</v>
      </c>
      <c r="R242" s="113">
        <v>1</v>
      </c>
      <c r="V242" s="113">
        <v>1</v>
      </c>
      <c r="Z242" s="113">
        <v>1</v>
      </c>
      <c r="AD242" s="113">
        <v>1</v>
      </c>
      <c r="AH242">
        <v>1</v>
      </c>
      <c r="AJ242">
        <f t="shared" si="3"/>
        <v>5</v>
      </c>
    </row>
    <row r="243" customHeight="1" spans="13:36">
      <c r="M243" s="130">
        <v>236</v>
      </c>
      <c r="N243">
        <v>21</v>
      </c>
      <c r="R243" s="113">
        <v>1</v>
      </c>
      <c r="V243" s="113">
        <v>1</v>
      </c>
      <c r="Z243" s="113">
        <v>1</v>
      </c>
      <c r="AD243" s="113">
        <v>1</v>
      </c>
      <c r="AH243">
        <v>1</v>
      </c>
      <c r="AJ243">
        <f t="shared" si="3"/>
        <v>5</v>
      </c>
    </row>
    <row r="244" customHeight="1" spans="13:36">
      <c r="M244" s="137">
        <v>237</v>
      </c>
      <c r="N244">
        <v>22</v>
      </c>
      <c r="Q244" s="113">
        <v>1</v>
      </c>
      <c r="R244" s="114"/>
      <c r="S244"/>
      <c r="U244" s="113">
        <v>1</v>
      </c>
      <c r="V244" s="114"/>
      <c r="W244"/>
      <c r="Y244" s="113">
        <v>1</v>
      </c>
      <c r="Z244" s="114"/>
      <c r="AA244"/>
      <c r="AC244" s="113">
        <v>1</v>
      </c>
      <c r="AD244" s="114"/>
      <c r="AE244"/>
      <c r="AG244">
        <v>1</v>
      </c>
      <c r="AJ244">
        <f t="shared" si="3"/>
        <v>5</v>
      </c>
    </row>
    <row r="245" customHeight="1" spans="13:36">
      <c r="M245" s="130">
        <v>238</v>
      </c>
      <c r="N245">
        <v>23</v>
      </c>
      <c r="R245" s="113">
        <v>1</v>
      </c>
      <c r="V245" s="113">
        <v>1</v>
      </c>
      <c r="Z245" s="113">
        <v>1</v>
      </c>
      <c r="AD245" s="113">
        <v>1</v>
      </c>
      <c r="AH245">
        <v>1</v>
      </c>
      <c r="AJ245">
        <f t="shared" si="3"/>
        <v>5</v>
      </c>
    </row>
    <row r="246" customHeight="1" spans="13:36">
      <c r="M246" s="137">
        <v>239</v>
      </c>
      <c r="N246">
        <v>24</v>
      </c>
      <c r="Q246" s="113">
        <v>1</v>
      </c>
      <c r="R246" s="114"/>
      <c r="S246"/>
      <c r="U246" s="113">
        <v>1</v>
      </c>
      <c r="V246" s="114"/>
      <c r="W246"/>
      <c r="X246">
        <v>1</v>
      </c>
      <c r="Y246" s="113"/>
      <c r="Z246" s="114"/>
      <c r="AA246"/>
      <c r="AB246">
        <v>1</v>
      </c>
      <c r="AC246" s="113"/>
      <c r="AD246" s="114"/>
      <c r="AE246"/>
      <c r="AG246">
        <v>1</v>
      </c>
      <c r="AJ246">
        <f t="shared" si="3"/>
        <v>5</v>
      </c>
    </row>
    <row r="247" customHeight="1" spans="13:36">
      <c r="M247" s="130">
        <v>240</v>
      </c>
      <c r="N247">
        <v>25</v>
      </c>
      <c r="R247" s="113">
        <v>1</v>
      </c>
      <c r="V247" s="113">
        <v>1</v>
      </c>
      <c r="Z247" s="113">
        <v>1</v>
      </c>
      <c r="AD247" s="113">
        <v>1</v>
      </c>
      <c r="AH247">
        <v>1</v>
      </c>
      <c r="AJ247">
        <f t="shared" si="3"/>
        <v>5</v>
      </c>
    </row>
    <row r="248" customHeight="1" spans="13:36">
      <c r="M248" s="137">
        <v>241</v>
      </c>
      <c r="N248">
        <v>26</v>
      </c>
      <c r="R248" s="113">
        <v>1</v>
      </c>
      <c r="V248" s="113">
        <v>1</v>
      </c>
      <c r="Z248" s="113">
        <v>1</v>
      </c>
      <c r="AD248" s="113">
        <v>1</v>
      </c>
      <c r="AH248">
        <v>1</v>
      </c>
      <c r="AJ248">
        <f t="shared" si="3"/>
        <v>5</v>
      </c>
    </row>
    <row r="249" customHeight="1" spans="13:36">
      <c r="M249" s="130">
        <v>242</v>
      </c>
      <c r="N249">
        <v>27</v>
      </c>
      <c r="Q249" s="113">
        <v>1</v>
      </c>
      <c r="R249" s="114"/>
      <c r="S249"/>
      <c r="U249" s="113">
        <v>1</v>
      </c>
      <c r="V249" s="114"/>
      <c r="W249"/>
      <c r="Y249" s="113">
        <v>1</v>
      </c>
      <c r="Z249" s="114"/>
      <c r="AA249"/>
      <c r="AC249" s="113">
        <v>1</v>
      </c>
      <c r="AD249" s="114"/>
      <c r="AE249"/>
      <c r="AG249">
        <v>1</v>
      </c>
      <c r="AJ249">
        <f t="shared" si="3"/>
        <v>5</v>
      </c>
    </row>
    <row r="250" customHeight="1" spans="13:36">
      <c r="M250" s="137">
        <v>243</v>
      </c>
      <c r="N250">
        <v>28</v>
      </c>
      <c r="R250" s="113">
        <v>1</v>
      </c>
      <c r="V250" s="113">
        <v>1</v>
      </c>
      <c r="Z250" s="113">
        <v>1</v>
      </c>
      <c r="AD250" s="113">
        <v>1</v>
      </c>
      <c r="AH250">
        <v>1</v>
      </c>
      <c r="AJ250">
        <f t="shared" si="3"/>
        <v>5</v>
      </c>
    </row>
    <row r="251" customHeight="1" spans="13:36">
      <c r="M251" s="130">
        <v>244</v>
      </c>
      <c r="N251">
        <v>29</v>
      </c>
      <c r="R251" s="113">
        <v>1</v>
      </c>
      <c r="V251" s="113">
        <v>1</v>
      </c>
      <c r="Z251" s="113">
        <v>1</v>
      </c>
      <c r="AD251" s="113">
        <v>1</v>
      </c>
      <c r="AH251">
        <v>1</v>
      </c>
      <c r="AJ251">
        <f t="shared" si="3"/>
        <v>5</v>
      </c>
    </row>
    <row r="252" customHeight="1" spans="13:36">
      <c r="M252" s="137">
        <v>245</v>
      </c>
      <c r="N252">
        <v>30</v>
      </c>
      <c r="R252" s="113">
        <v>1</v>
      </c>
      <c r="V252" s="113">
        <v>1</v>
      </c>
      <c r="Z252" s="113">
        <v>1</v>
      </c>
      <c r="AD252" s="113">
        <v>1</v>
      </c>
      <c r="AH252">
        <v>1</v>
      </c>
      <c r="AJ252">
        <f t="shared" si="3"/>
        <v>5</v>
      </c>
    </row>
    <row r="253" customHeight="1" spans="13:36">
      <c r="M253" s="130">
        <v>246</v>
      </c>
      <c r="N253">
        <v>31</v>
      </c>
      <c r="R253" s="113">
        <v>1</v>
      </c>
      <c r="V253" s="113">
        <v>1</v>
      </c>
      <c r="Z253" s="113">
        <v>1</v>
      </c>
      <c r="AD253" s="113">
        <v>1</v>
      </c>
      <c r="AH253">
        <v>1</v>
      </c>
      <c r="AJ253">
        <f t="shared" si="3"/>
        <v>5</v>
      </c>
    </row>
    <row r="254" customHeight="1" spans="13:36">
      <c r="M254" s="137">
        <v>247</v>
      </c>
      <c r="N254">
        <v>32</v>
      </c>
      <c r="R254" s="113">
        <v>1</v>
      </c>
      <c r="V254" s="113">
        <v>1</v>
      </c>
      <c r="Z254" s="113">
        <v>1</v>
      </c>
      <c r="AD254" s="113">
        <v>1</v>
      </c>
      <c r="AH254">
        <v>1</v>
      </c>
      <c r="AJ254">
        <f t="shared" si="3"/>
        <v>5</v>
      </c>
    </row>
    <row r="255" customHeight="1" spans="13:36">
      <c r="O255">
        <f t="shared" ref="O255:AH255" si="4">SUM(O3:O254)</f>
        <v>0</v>
      </c>
      <c r="P255">
        <f t="shared" si="4"/>
        <v>15</v>
      </c>
      <c r="Q255">
        <f t="shared" si="4"/>
        <v>111</v>
      </c>
      <c r="R255">
        <f t="shared" si="4"/>
        <v>121</v>
      </c>
      <c r="S255">
        <f t="shared" si="4"/>
        <v>0</v>
      </c>
      <c r="T255">
        <f t="shared" si="4"/>
        <v>3</v>
      </c>
      <c r="U255">
        <f t="shared" si="4"/>
        <v>104</v>
      </c>
      <c r="V255">
        <f t="shared" si="4"/>
        <v>140</v>
      </c>
      <c r="W255">
        <f t="shared" si="4"/>
        <v>0</v>
      </c>
      <c r="X255">
        <f t="shared" si="4"/>
        <v>10</v>
      </c>
      <c r="Y255">
        <f t="shared" si="4"/>
        <v>110</v>
      </c>
      <c r="Z255">
        <f t="shared" si="4"/>
        <v>127</v>
      </c>
      <c r="AA255">
        <f t="shared" si="4"/>
        <v>0</v>
      </c>
      <c r="AB255">
        <f t="shared" si="4"/>
        <v>12</v>
      </c>
      <c r="AC255">
        <f t="shared" si="4"/>
        <v>115</v>
      </c>
      <c r="AD255">
        <f t="shared" si="4"/>
        <v>120</v>
      </c>
      <c r="AE255">
        <f t="shared" si="4"/>
        <v>0</v>
      </c>
      <c r="AF255">
        <f t="shared" si="4"/>
        <v>7</v>
      </c>
      <c r="AG255">
        <f t="shared" si="4"/>
        <v>122</v>
      </c>
      <c r="AH255">
        <f t="shared" si="4"/>
        <v>118</v>
      </c>
    </row>
    <row r="256" customHeight="1" spans="13:36">
      <c r="R256" s="113">
        <f>O255+P255+Q255+R255</f>
        <v>247</v>
      </c>
      <c r="V256" s="113">
        <f>S255+T255+U255+V255</f>
        <v>247</v>
      </c>
      <c r="Z256" s="113">
        <f>W255+X255+Y255+Z255</f>
        <v>247</v>
      </c>
      <c r="AD256" s="113">
        <f>AA255+AB255+AC255+AD255</f>
        <v>247</v>
      </c>
      <c r="AH256">
        <f>AE255+AF255+AG255+AH255</f>
        <v>247</v>
      </c>
    </row>
    <row r="263" customHeight="1" spans="18:31">
      <c r="R263"/>
      <c r="S263"/>
      <c r="V263"/>
      <c r="W263"/>
      <c r="Z263"/>
      <c r="AA263"/>
      <c r="AD263"/>
      <c r="AE263"/>
    </row>
  </sheetData>
  <sheetProtection selectLockedCells="1" selectUnlockedCells="1"/>
  <mergeCells count="24">
    <mergeCell ref="D1:F1"/>
    <mergeCell ref="G1:J1"/>
    <mergeCell ref="O1:R1"/>
    <mergeCell ref="S1:V1"/>
    <mergeCell ref="W1:Z1"/>
    <mergeCell ref="AA1:AD1"/>
    <mergeCell ref="AE1:AH1"/>
    <mergeCell ref="D2:F2"/>
    <mergeCell ref="D3:F3"/>
    <mergeCell ref="G3:J3"/>
    <mergeCell ref="D4:F4"/>
    <mergeCell ref="E7:H7"/>
    <mergeCell ref="B25:J25"/>
    <mergeCell ref="H27:I27"/>
    <mergeCell ref="C28:D28"/>
    <mergeCell ref="H28:I28"/>
    <mergeCell ref="C29:D29"/>
    <mergeCell ref="H29:I29"/>
    <mergeCell ref="C32:D32"/>
    <mergeCell ref="H32:I32"/>
    <mergeCell ref="B7:B8"/>
    <mergeCell ref="I7:I8"/>
    <mergeCell ref="J7:J8"/>
    <mergeCell ref="C7:D8"/>
  </mergeCells>
  <printOptions horizontalCentered="1"/>
  <pageMargins left="0.118055555555556" right="0" top="0.7875" bottom="0.39375" header="0.511805555555556" footer="0.511805555555556"/>
  <pageSetup paperSize="9" scale="82" orientation="landscape" useFirstPageNumber="1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0"/>
  <sheetViews>
    <sheetView showGridLines="0" zoomScaleSheetLayoutView="60" workbookViewId="0">
      <selection activeCell="M3" sqref="M3:R3"/>
    </sheetView>
  </sheetViews>
  <sheetFormatPr defaultColWidth="8.72727272727273" defaultRowHeight="12.5"/>
  <cols>
    <col min="1" max="1" width="3.13636363636364" customWidth="1"/>
    <col min="2" max="2" width="11.1363636363636" customWidth="1"/>
    <col min="3" max="3" width="6.85454545454545" customWidth="1"/>
    <col min="4" max="17" width="5.70909090909091" customWidth="1"/>
    <col min="18" max="18" width="3.57272727272727" customWidth="1"/>
  </cols>
  <sheetData>
    <row r="1" ht="14" spans="1:18">
      <c r="A1" s="1"/>
      <c r="B1" s="2"/>
      <c r="C1" s="3"/>
      <c r="D1" s="4" t="s">
        <v>45</v>
      </c>
      <c r="E1" s="5"/>
      <c r="F1" s="5"/>
      <c r="G1" s="5"/>
      <c r="H1" s="5"/>
      <c r="I1" s="5"/>
      <c r="J1" s="5"/>
      <c r="K1" s="5"/>
      <c r="L1" s="6"/>
      <c r="M1" s="4" t="s">
        <v>1</v>
      </c>
      <c r="N1" s="5"/>
      <c r="O1" s="5"/>
      <c r="P1" s="5"/>
      <c r="Q1" s="5"/>
      <c r="R1" s="6"/>
    </row>
    <row r="2" ht="14" spans="1:18">
      <c r="A2" s="7"/>
      <c r="B2" s="8"/>
      <c r="C2" s="9"/>
      <c r="D2" s="10" t="s">
        <v>46</v>
      </c>
      <c r="E2" s="11"/>
      <c r="F2" s="11"/>
      <c r="G2" s="11"/>
      <c r="H2" s="11"/>
      <c r="I2" s="11"/>
      <c r="J2" s="11"/>
      <c r="K2" s="11"/>
      <c r="L2" s="12"/>
      <c r="M2" s="13"/>
      <c r="N2" s="13"/>
      <c r="O2" s="13"/>
      <c r="P2" s="13"/>
      <c r="Q2" s="13"/>
      <c r="R2" s="14"/>
    </row>
    <row r="3" ht="13" spans="1:18">
      <c r="A3" s="7"/>
      <c r="B3" s="8"/>
      <c r="C3" s="9"/>
      <c r="D3" s="15" t="s">
        <v>47</v>
      </c>
      <c r="E3" s="16"/>
      <c r="F3" s="16"/>
      <c r="G3" s="16"/>
      <c r="H3" s="16"/>
      <c r="I3" s="16"/>
      <c r="J3" s="16"/>
      <c r="K3" s="16"/>
      <c r="L3" s="17"/>
      <c r="M3" s="18" t="s">
        <v>48</v>
      </c>
      <c r="N3" s="19"/>
      <c r="O3" s="19"/>
      <c r="P3" s="19"/>
      <c r="Q3" s="19"/>
      <c r="R3" s="20"/>
    </row>
    <row r="4" ht="14" spans="1:18">
      <c r="A4" s="7"/>
      <c r="B4" s="8"/>
      <c r="C4" s="9"/>
      <c r="D4" s="15" t="s">
        <v>49</v>
      </c>
      <c r="E4" s="16"/>
      <c r="F4" s="16"/>
      <c r="G4" s="16"/>
      <c r="H4" s="16"/>
      <c r="I4" s="16"/>
      <c r="J4" s="16"/>
      <c r="K4" s="16"/>
      <c r="L4" s="17"/>
      <c r="M4" s="13"/>
      <c r="N4" s="13"/>
      <c r="O4" s="13"/>
      <c r="P4" s="13"/>
      <c r="Q4" s="13"/>
      <c r="R4" s="14"/>
    </row>
    <row r="5" ht="14.75" spans="1:18">
      <c r="A5" s="21"/>
      <c r="B5" s="22"/>
      <c r="C5" s="23"/>
      <c r="D5" s="24"/>
      <c r="E5" s="25"/>
      <c r="F5" s="25"/>
      <c r="G5" s="25"/>
      <c r="H5" s="25"/>
      <c r="I5" s="25"/>
      <c r="J5" s="25"/>
      <c r="K5" s="25"/>
      <c r="L5" s="26"/>
      <c r="M5" s="25"/>
      <c r="N5" s="25"/>
      <c r="O5" s="25"/>
      <c r="P5" s="25"/>
      <c r="Q5" s="25"/>
      <c r="R5" s="26"/>
    </row>
    <row r="6" spans="1:18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27"/>
      <c r="N6" s="27"/>
      <c r="O6" s="27"/>
      <c r="P6" s="27"/>
      <c r="Q6" s="27"/>
      <c r="R6" s="28"/>
    </row>
    <row r="7" ht="14" spans="1:18">
      <c r="A7" s="7"/>
      <c r="B7" s="29" t="s">
        <v>50</v>
      </c>
      <c r="C7" s="13"/>
      <c r="D7" s="13"/>
      <c r="E7" s="13"/>
      <c r="F7" s="13"/>
      <c r="G7" s="13"/>
      <c r="H7" s="13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4" spans="1:18">
      <c r="A8" s="7"/>
      <c r="B8" s="29"/>
      <c r="C8" s="13"/>
      <c r="D8" s="13"/>
      <c r="E8" s="13"/>
      <c r="F8" s="13"/>
      <c r="G8" s="13"/>
      <c r="H8" s="13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4" spans="1:18">
      <c r="A9" s="7"/>
      <c r="B9" s="29" t="s">
        <v>51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8"/>
    </row>
    <row r="10" spans="1:18">
      <c r="A10" s="7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28"/>
    </row>
    <row r="11" ht="22.5" customHeight="1" spans="1:18">
      <c r="A11" s="7"/>
      <c r="B11" s="32" t="s">
        <v>52</v>
      </c>
      <c r="C11" s="33" t="s">
        <v>53</v>
      </c>
      <c r="D11" s="34" t="s">
        <v>54</v>
      </c>
      <c r="E11" s="34" t="s">
        <v>55</v>
      </c>
      <c r="F11" s="34" t="s">
        <v>56</v>
      </c>
      <c r="G11" s="34" t="s">
        <v>57</v>
      </c>
      <c r="H11" s="34" t="s">
        <v>58</v>
      </c>
      <c r="I11" s="34" t="s">
        <v>59</v>
      </c>
      <c r="J11" s="34" t="s">
        <v>60</v>
      </c>
      <c r="K11" s="34" t="s">
        <v>61</v>
      </c>
      <c r="L11" s="34" t="s">
        <v>62</v>
      </c>
      <c r="M11" s="34" t="s">
        <v>63</v>
      </c>
      <c r="N11" s="34" t="s">
        <v>64</v>
      </c>
      <c r="O11" s="34" t="s">
        <v>65</v>
      </c>
      <c r="P11" s="35" t="s">
        <v>66</v>
      </c>
      <c r="Q11" s="36" t="s">
        <v>67</v>
      </c>
      <c r="R11" s="28"/>
    </row>
    <row r="12" spans="1:18">
      <c r="A12" s="7"/>
      <c r="B12" s="37">
        <v>1</v>
      </c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/>
      <c r="Q12" s="41"/>
      <c r="R12" s="28"/>
    </row>
    <row r="13" spans="1:18">
      <c r="A13" s="7"/>
      <c r="B13" s="42">
        <v>2</v>
      </c>
      <c r="C13" s="43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6"/>
      <c r="R13" s="28"/>
    </row>
    <row r="14" spans="1:18">
      <c r="A14" s="7"/>
      <c r="B14" s="42">
        <v>3</v>
      </c>
      <c r="C14" s="4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5"/>
      <c r="Q14" s="46"/>
      <c r="R14" s="28"/>
    </row>
    <row r="15" spans="1:18">
      <c r="A15" s="7"/>
      <c r="B15" s="42">
        <v>4</v>
      </c>
      <c r="C15" s="43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5"/>
      <c r="Q15" s="46"/>
      <c r="R15" s="28"/>
    </row>
    <row r="16" spans="1:18">
      <c r="A16" s="7"/>
      <c r="B16" s="42">
        <v>5</v>
      </c>
      <c r="C16" s="43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5"/>
      <c r="Q16" s="46"/>
      <c r="R16" s="28"/>
    </row>
    <row r="17" spans="1:18">
      <c r="A17" s="7"/>
      <c r="B17" s="42">
        <v>6</v>
      </c>
      <c r="C17" s="43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  <c r="Q17" s="46"/>
      <c r="R17" s="28"/>
    </row>
    <row r="18" spans="1:18">
      <c r="A18" s="7"/>
      <c r="B18" s="42">
        <v>7</v>
      </c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46"/>
      <c r="R18" s="28"/>
    </row>
    <row r="19" spans="1:18">
      <c r="A19" s="7"/>
      <c r="B19" s="42">
        <v>8</v>
      </c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5"/>
      <c r="Q19" s="46"/>
      <c r="R19" s="28"/>
    </row>
    <row r="20" spans="1:18">
      <c r="A20" s="7"/>
      <c r="B20" s="42">
        <v>9</v>
      </c>
      <c r="C20" s="43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46"/>
      <c r="R20" s="28"/>
    </row>
    <row r="21" spans="1:18">
      <c r="A21" s="7"/>
      <c r="B21" s="42">
        <v>10</v>
      </c>
      <c r="C21" s="4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5"/>
      <c r="Q21" s="46"/>
      <c r="R21" s="28"/>
    </row>
    <row r="22" spans="1:18">
      <c r="A22" s="7"/>
      <c r="B22" s="42"/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46"/>
      <c r="R22" s="28"/>
    </row>
    <row r="23" spans="1:18">
      <c r="A23" s="7"/>
      <c r="B23" s="42"/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5"/>
      <c r="Q23" s="46"/>
      <c r="R23" s="28"/>
    </row>
    <row r="24" spans="1:18">
      <c r="A24" s="7"/>
      <c r="B24" s="42"/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5"/>
      <c r="Q24" s="46"/>
      <c r="R24" s="28"/>
    </row>
    <row r="25" spans="1:18">
      <c r="A25" s="7"/>
      <c r="B25" s="42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46"/>
      <c r="R25" s="28"/>
    </row>
    <row r="26" spans="1:18">
      <c r="A26" s="7"/>
      <c r="B26" s="42"/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6"/>
      <c r="R26" s="28"/>
    </row>
    <row r="27" spans="1:18">
      <c r="A27" s="7"/>
      <c r="B27" s="47"/>
      <c r="C27" s="48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51"/>
      <c r="R27" s="28"/>
    </row>
    <row r="28" spans="1:18">
      <c r="A28" s="7"/>
      <c r="B28" s="47"/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0"/>
      <c r="Q28" s="51"/>
      <c r="R28" s="28"/>
    </row>
    <row r="29" ht="13.25" spans="1:18">
      <c r="A29" s="7"/>
      <c r="B29" s="47" t="s">
        <v>68</v>
      </c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0"/>
      <c r="Q29" s="51"/>
      <c r="R29" s="28"/>
    </row>
    <row r="30" spans="1:18">
      <c r="A30" s="7"/>
      <c r="B30" s="52" t="s">
        <v>69</v>
      </c>
      <c r="C30" s="53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5"/>
      <c r="Q30" s="56"/>
      <c r="R30" s="28"/>
    </row>
    <row r="31" spans="1:18">
      <c r="A31" s="7"/>
      <c r="B31" s="42" t="s">
        <v>70</v>
      </c>
      <c r="C31" s="57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60"/>
      <c r="R31" s="28"/>
    </row>
    <row r="32" spans="1:18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28"/>
    </row>
    <row r="33" ht="14" spans="1:18">
      <c r="A33" s="7"/>
      <c r="B33" s="13" t="s">
        <v>71</v>
      </c>
      <c r="C33" s="13"/>
      <c r="D33" s="13"/>
      <c r="E33" s="13"/>
      <c r="F33" s="13"/>
      <c r="G33" s="13"/>
      <c r="H33" s="61"/>
      <c r="I33" s="61"/>
      <c r="J33" s="8"/>
      <c r="K33" s="8"/>
      <c r="L33" s="8"/>
      <c r="M33" s="8"/>
      <c r="N33" s="8"/>
      <c r="O33" s="8"/>
      <c r="P33" s="8"/>
      <c r="Q33" s="8"/>
      <c r="R33" s="28"/>
    </row>
    <row r="34" ht="14.75" spans="1:18">
      <c r="A34" s="7"/>
      <c r="B34" s="30"/>
      <c r="C34" s="30"/>
      <c r="D34" s="30"/>
      <c r="E34" s="30"/>
      <c r="F34" s="30"/>
      <c r="G34" s="30"/>
      <c r="H34" s="8"/>
      <c r="I34" s="8"/>
      <c r="J34" s="8"/>
      <c r="K34" s="8"/>
      <c r="L34" s="8"/>
      <c r="M34" s="8"/>
      <c r="N34" s="8"/>
      <c r="O34" s="8"/>
      <c r="P34" s="8"/>
      <c r="Q34" s="8"/>
      <c r="R34" s="28"/>
    </row>
    <row r="35" ht="19.5" customHeight="1" spans="1:18">
      <c r="A35" s="7"/>
      <c r="B35" s="62" t="s">
        <v>52</v>
      </c>
      <c r="C35" s="63" t="s">
        <v>53</v>
      </c>
      <c r="D35" s="64" t="s">
        <v>54</v>
      </c>
      <c r="E35" s="64" t="s">
        <v>55</v>
      </c>
      <c r="F35" s="64" t="s">
        <v>56</v>
      </c>
      <c r="G35" s="64" t="s">
        <v>57</v>
      </c>
      <c r="H35" s="64" t="s">
        <v>58</v>
      </c>
      <c r="I35" s="64" t="s">
        <v>59</v>
      </c>
      <c r="J35" s="64" t="s">
        <v>60</v>
      </c>
      <c r="K35" s="64" t="s">
        <v>61</v>
      </c>
      <c r="L35" s="64" t="s">
        <v>62</v>
      </c>
      <c r="M35" s="64" t="s">
        <v>63</v>
      </c>
      <c r="N35" s="64" t="s">
        <v>64</v>
      </c>
      <c r="O35" s="64" t="s">
        <v>65</v>
      </c>
      <c r="P35" s="65" t="s">
        <v>66</v>
      </c>
      <c r="Q35" s="62" t="s">
        <v>67</v>
      </c>
      <c r="R35" s="28"/>
    </row>
    <row r="36" spans="1:18">
      <c r="A36" s="7"/>
      <c r="B36" s="66">
        <v>1</v>
      </c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40"/>
      <c r="Q36" s="66"/>
      <c r="R36" s="28"/>
    </row>
    <row r="37" spans="1:18">
      <c r="A37" s="7"/>
      <c r="B37" s="67">
        <v>2</v>
      </c>
      <c r="C37" s="43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5"/>
      <c r="Q37" s="67"/>
      <c r="R37" s="28"/>
    </row>
    <row r="38" spans="1:18">
      <c r="A38" s="7"/>
      <c r="B38" s="67">
        <v>3</v>
      </c>
      <c r="C38" s="43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5"/>
      <c r="Q38" s="67"/>
      <c r="R38" s="28"/>
    </row>
    <row r="39" spans="1:18">
      <c r="A39" s="7"/>
      <c r="B39" s="67">
        <v>4</v>
      </c>
      <c r="C39" s="4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5"/>
      <c r="Q39" s="67"/>
      <c r="R39" s="28"/>
    </row>
    <row r="40" spans="1:18">
      <c r="A40" s="7"/>
      <c r="B40" s="67">
        <v>5</v>
      </c>
      <c r="C40" s="4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5"/>
      <c r="Q40" s="67"/>
      <c r="R40" s="28"/>
    </row>
    <row r="41" spans="1:18">
      <c r="A41" s="7"/>
      <c r="B41" s="67">
        <v>6</v>
      </c>
      <c r="C41" s="4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5"/>
      <c r="Q41" s="67"/>
      <c r="R41" s="28"/>
    </row>
    <row r="42" spans="1:18">
      <c r="A42" s="7"/>
      <c r="B42" s="67">
        <v>7</v>
      </c>
      <c r="C42" s="43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5"/>
      <c r="Q42" s="67"/>
      <c r="R42" s="28"/>
    </row>
    <row r="43" spans="1:18">
      <c r="A43" s="7"/>
      <c r="B43" s="67">
        <v>8</v>
      </c>
      <c r="C43" s="43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5"/>
      <c r="Q43" s="67"/>
      <c r="R43" s="28"/>
    </row>
    <row r="44" spans="1:18">
      <c r="A44" s="7"/>
      <c r="B44" s="67">
        <v>9</v>
      </c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5"/>
      <c r="Q44" s="67"/>
      <c r="R44" s="28"/>
    </row>
    <row r="45" spans="1:18">
      <c r="A45" s="7"/>
      <c r="B45" s="67">
        <v>10</v>
      </c>
      <c r="C45" s="43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5"/>
      <c r="Q45" s="67"/>
      <c r="R45" s="28"/>
    </row>
    <row r="46" spans="1:18">
      <c r="A46" s="7"/>
      <c r="B46" s="67"/>
      <c r="C46" s="43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5"/>
      <c r="Q46" s="67"/>
      <c r="R46" s="28"/>
    </row>
    <row r="47" spans="1:18">
      <c r="A47" s="7"/>
      <c r="B47" s="67"/>
      <c r="C47" s="43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5"/>
      <c r="Q47" s="67"/>
      <c r="R47" s="28"/>
    </row>
    <row r="48" spans="1:18">
      <c r="A48" s="7"/>
      <c r="B48" s="67"/>
      <c r="C48" s="43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5"/>
      <c r="Q48" s="67"/>
      <c r="R48" s="28"/>
    </row>
    <row r="49" spans="1:18">
      <c r="A49" s="7"/>
      <c r="B49" s="67"/>
      <c r="C49" s="43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5"/>
      <c r="Q49" s="67"/>
      <c r="R49" s="28"/>
    </row>
    <row r="50" spans="1:18">
      <c r="A50" s="7"/>
      <c r="B50" s="67"/>
      <c r="C50" s="43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5"/>
      <c r="Q50" s="67"/>
      <c r="R50" s="28"/>
    </row>
    <row r="51" spans="1:18">
      <c r="A51" s="7"/>
      <c r="B51" s="67"/>
      <c r="C51" s="43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5"/>
      <c r="Q51" s="67"/>
      <c r="R51" s="28"/>
    </row>
    <row r="52" spans="1:18">
      <c r="A52" s="7"/>
      <c r="B52" s="67"/>
      <c r="C52" s="43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5"/>
      <c r="Q52" s="67"/>
      <c r="R52" s="28"/>
    </row>
    <row r="53" ht="13.25" spans="1:18">
      <c r="A53" s="7"/>
      <c r="B53" s="68" t="s">
        <v>68</v>
      </c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0"/>
      <c r="Q53" s="68"/>
      <c r="R53" s="28"/>
    </row>
    <row r="54" spans="1:18">
      <c r="A54" s="7"/>
      <c r="B54" s="69" t="s">
        <v>69</v>
      </c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5"/>
      <c r="Q54" s="69"/>
      <c r="R54" s="28"/>
    </row>
    <row r="55" ht="13.25" spans="1:18">
      <c r="A55" s="7"/>
      <c r="B55" s="70" t="s">
        <v>70</v>
      </c>
      <c r="C55" s="71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3"/>
      <c r="Q55" s="74"/>
      <c r="R55" s="28"/>
    </row>
    <row r="56" spans="1:18">
      <c r="A56" s="7"/>
      <c r="B56" s="75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28"/>
    </row>
    <row r="57" spans="1:18">
      <c r="A57" s="7"/>
      <c r="B57" s="75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28"/>
    </row>
    <row r="58" spans="1:18">
      <c r="A58" s="7"/>
      <c r="B58" s="75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28"/>
    </row>
    <row r="59" ht="13.25" spans="1:18">
      <c r="A59" s="21"/>
      <c r="B59" s="77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9"/>
    </row>
    <row r="60" ht="14" spans="1:18">
      <c r="A60" s="1"/>
      <c r="B60" s="2"/>
      <c r="C60" s="3"/>
      <c r="D60" s="4" t="s">
        <v>45</v>
      </c>
      <c r="E60" s="5"/>
      <c r="F60" s="5"/>
      <c r="G60" s="5"/>
      <c r="H60" s="5"/>
      <c r="I60" s="5"/>
      <c r="J60" s="5"/>
      <c r="K60" s="5"/>
      <c r="L60" s="6"/>
      <c r="M60" s="4" t="s">
        <v>1</v>
      </c>
      <c r="N60" s="5"/>
      <c r="O60" s="5"/>
      <c r="P60" s="5"/>
      <c r="Q60" s="5"/>
      <c r="R60" s="6"/>
    </row>
    <row r="61" ht="14" spans="1:18">
      <c r="A61" s="7"/>
      <c r="B61" s="8"/>
      <c r="C61" s="9"/>
      <c r="D61" s="10" t="s">
        <v>46</v>
      </c>
      <c r="E61" s="11"/>
      <c r="F61" s="11"/>
      <c r="G61" s="11"/>
      <c r="H61" s="11"/>
      <c r="I61" s="11"/>
      <c r="J61" s="11"/>
      <c r="K61" s="11"/>
      <c r="L61" s="12"/>
      <c r="M61" s="13"/>
      <c r="N61" s="13"/>
      <c r="O61" s="13"/>
      <c r="P61" s="13"/>
      <c r="Q61" s="13"/>
      <c r="R61" s="14"/>
    </row>
    <row r="62" ht="13" spans="1:18">
      <c r="A62" s="7"/>
      <c r="B62" s="8"/>
      <c r="C62" s="9"/>
      <c r="D62" s="15" t="s">
        <v>47</v>
      </c>
      <c r="E62" s="16"/>
      <c r="F62" s="16"/>
      <c r="G62" s="16"/>
      <c r="H62" s="16"/>
      <c r="I62" s="16"/>
      <c r="J62" s="16"/>
      <c r="K62" s="16"/>
      <c r="L62" s="17"/>
      <c r="M62" s="18" t="s">
        <v>48</v>
      </c>
      <c r="N62" s="19"/>
      <c r="O62" s="19"/>
      <c r="P62" s="19"/>
      <c r="Q62" s="19"/>
      <c r="R62" s="20"/>
    </row>
    <row r="63" ht="14" spans="1:18">
      <c r="A63" s="7"/>
      <c r="B63" s="8"/>
      <c r="C63" s="9"/>
      <c r="D63" s="15" t="s">
        <v>49</v>
      </c>
      <c r="E63" s="16"/>
      <c r="F63" s="16"/>
      <c r="G63" s="16"/>
      <c r="H63" s="16"/>
      <c r="I63" s="16"/>
      <c r="J63" s="16"/>
      <c r="K63" s="16"/>
      <c r="L63" s="17"/>
      <c r="M63" s="13"/>
      <c r="N63" s="13"/>
      <c r="O63" s="13"/>
      <c r="P63" s="13"/>
      <c r="Q63" s="13"/>
      <c r="R63" s="14"/>
    </row>
    <row r="64" ht="14.75" spans="1:18">
      <c r="A64" s="21"/>
      <c r="B64" s="22"/>
      <c r="C64" s="23"/>
      <c r="D64" s="24"/>
      <c r="E64" s="25"/>
      <c r="F64" s="25"/>
      <c r="G64" s="25"/>
      <c r="H64" s="25"/>
      <c r="I64" s="25"/>
      <c r="J64" s="25"/>
      <c r="K64" s="25"/>
      <c r="L64" s="26"/>
      <c r="M64" s="25"/>
      <c r="N64" s="25"/>
      <c r="O64" s="25"/>
      <c r="P64" s="25"/>
      <c r="Q64" s="25"/>
      <c r="R64" s="26"/>
    </row>
    <row r="65" ht="14" spans="1:18">
      <c r="A65" s="7"/>
      <c r="B65" s="8"/>
      <c r="C65" s="8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80"/>
    </row>
    <row r="66" ht="14" spans="1:18">
      <c r="A66" s="7"/>
      <c r="B66" s="81" t="s">
        <v>72</v>
      </c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3"/>
      <c r="R66" s="28"/>
    </row>
    <row r="67" ht="14" spans="1:18">
      <c r="A67" s="7"/>
      <c r="B67" s="84" t="s">
        <v>73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30"/>
      <c r="R67" s="28"/>
    </row>
    <row r="68" ht="13.25" spans="1:18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28"/>
    </row>
    <row r="69" ht="13" spans="1:18">
      <c r="A69" s="7"/>
      <c r="B69" s="85" t="s">
        <v>74</v>
      </c>
      <c r="C69" s="86" t="s">
        <v>75</v>
      </c>
      <c r="D69" s="85" t="s">
        <v>76</v>
      </c>
      <c r="E69" s="87"/>
      <c r="F69" s="85" t="s">
        <v>76</v>
      </c>
      <c r="G69" s="87"/>
      <c r="H69" s="8"/>
      <c r="I69" s="8"/>
      <c r="J69" s="8"/>
      <c r="K69" s="8"/>
      <c r="L69" s="8"/>
      <c r="M69" s="8"/>
      <c r="N69" s="8"/>
      <c r="O69" s="8"/>
      <c r="P69" s="8"/>
      <c r="Q69" s="8"/>
      <c r="R69" s="28"/>
    </row>
    <row r="70" ht="13.75" spans="1:18">
      <c r="A70" s="7"/>
      <c r="B70" s="88"/>
      <c r="C70" s="89"/>
      <c r="D70" s="88" t="s">
        <v>77</v>
      </c>
      <c r="E70" s="90"/>
      <c r="F70" s="88" t="s">
        <v>78</v>
      </c>
      <c r="G70" s="90"/>
      <c r="H70" s="8"/>
      <c r="I70" s="8"/>
      <c r="J70" s="8"/>
      <c r="K70" s="8"/>
      <c r="L70" s="8"/>
      <c r="M70" s="8"/>
      <c r="N70" s="8"/>
      <c r="O70" s="8"/>
      <c r="P70" s="8"/>
      <c r="Q70" s="8"/>
      <c r="R70" s="28"/>
    </row>
    <row r="71" ht="15" customHeight="1" spans="1:18">
      <c r="A71" s="7"/>
      <c r="B71" s="91" t="s">
        <v>79</v>
      </c>
      <c r="C71" s="91" t="s">
        <v>53</v>
      </c>
      <c r="D71" s="92"/>
      <c r="E71" s="93"/>
      <c r="F71" s="94"/>
      <c r="G71" s="95"/>
      <c r="H71" s="8"/>
      <c r="I71" s="8"/>
      <c r="J71" s="8"/>
      <c r="K71" s="8"/>
      <c r="L71" s="8"/>
      <c r="M71" s="8"/>
      <c r="N71" s="8"/>
      <c r="O71" s="8"/>
      <c r="P71" s="8"/>
      <c r="Q71" s="8"/>
      <c r="R71" s="28"/>
    </row>
    <row r="72" ht="15" customHeight="1" spans="1:18">
      <c r="A72" s="7"/>
      <c r="B72" s="96" t="s">
        <v>80</v>
      </c>
      <c r="C72" s="96" t="s">
        <v>54</v>
      </c>
      <c r="D72" s="97"/>
      <c r="E72" s="98"/>
      <c r="F72" s="99"/>
      <c r="G72" s="100"/>
      <c r="H72" s="8"/>
      <c r="I72" s="8"/>
      <c r="J72" s="8"/>
      <c r="K72" s="8"/>
      <c r="L72" s="8"/>
      <c r="M72" s="8"/>
      <c r="N72" s="8"/>
      <c r="O72" s="8"/>
      <c r="P72" s="8"/>
      <c r="Q72" s="8"/>
      <c r="R72" s="28"/>
    </row>
    <row r="73" ht="15" customHeight="1" spans="1:18">
      <c r="A73" s="7"/>
      <c r="B73" s="96" t="s">
        <v>81</v>
      </c>
      <c r="C73" s="96" t="s">
        <v>55</v>
      </c>
      <c r="D73" s="97"/>
      <c r="E73" s="98"/>
      <c r="F73" s="99"/>
      <c r="G73" s="100"/>
      <c r="H73" s="8"/>
      <c r="I73" s="8"/>
      <c r="J73" s="8"/>
      <c r="K73" s="8"/>
      <c r="L73" s="8"/>
      <c r="M73" s="8"/>
      <c r="N73" s="8"/>
      <c r="O73" s="8"/>
      <c r="P73" s="8"/>
      <c r="Q73" s="8"/>
      <c r="R73" s="28"/>
    </row>
    <row r="74" ht="15" customHeight="1" spans="1:18">
      <c r="A74" s="7"/>
      <c r="B74" s="96" t="s">
        <v>82</v>
      </c>
      <c r="C74" s="96" t="s">
        <v>56</v>
      </c>
      <c r="D74" s="97"/>
      <c r="E74" s="98"/>
      <c r="F74" s="99"/>
      <c r="G74" s="100"/>
      <c r="H74" s="8"/>
      <c r="I74" s="8"/>
      <c r="J74" s="8"/>
      <c r="K74" s="8"/>
      <c r="L74" s="8"/>
      <c r="M74" s="8"/>
      <c r="N74" s="8"/>
      <c r="O74" s="8"/>
      <c r="P74" s="8"/>
      <c r="Q74" s="8"/>
      <c r="R74" s="28"/>
    </row>
    <row r="75" ht="15" customHeight="1" spans="1:18">
      <c r="A75" s="7"/>
      <c r="B75" s="96" t="s">
        <v>83</v>
      </c>
      <c r="C75" s="96" t="s">
        <v>57</v>
      </c>
      <c r="D75" s="97"/>
      <c r="E75" s="98"/>
      <c r="F75" s="99"/>
      <c r="G75" s="100"/>
      <c r="H75" s="8"/>
      <c r="I75" s="8"/>
      <c r="J75" s="8"/>
      <c r="K75" s="8"/>
      <c r="L75" s="8"/>
      <c r="M75" s="8"/>
      <c r="N75" s="8"/>
      <c r="O75" s="8"/>
      <c r="P75" s="8"/>
      <c r="Q75" s="8"/>
      <c r="R75" s="28"/>
    </row>
    <row r="76" ht="15" customHeight="1" spans="1:18">
      <c r="A76" s="7"/>
      <c r="B76" s="96" t="s">
        <v>84</v>
      </c>
      <c r="C76" s="96" t="s">
        <v>58</v>
      </c>
      <c r="D76" s="97"/>
      <c r="E76" s="98"/>
      <c r="F76" s="99"/>
      <c r="G76" s="100"/>
      <c r="H76" s="8"/>
      <c r="I76" s="8"/>
      <c r="J76" s="8"/>
      <c r="K76" s="8"/>
      <c r="L76" s="8"/>
      <c r="M76" s="8"/>
      <c r="N76" s="8"/>
      <c r="O76" s="8"/>
      <c r="P76" s="8"/>
      <c r="Q76" s="8"/>
      <c r="R76" s="28"/>
    </row>
    <row r="77" ht="15" customHeight="1" spans="1:18">
      <c r="A77" s="7"/>
      <c r="B77" s="96" t="s">
        <v>85</v>
      </c>
      <c r="C77" s="96" t="s">
        <v>59</v>
      </c>
      <c r="D77" s="97"/>
      <c r="E77" s="98"/>
      <c r="F77" s="99"/>
      <c r="G77" s="100"/>
      <c r="H77" s="8"/>
      <c r="I77" s="8"/>
      <c r="J77" s="8"/>
      <c r="K77" s="8"/>
      <c r="L77" s="8"/>
      <c r="M77" s="8"/>
      <c r="N77" s="8"/>
      <c r="O77" s="8"/>
      <c r="P77" s="8"/>
      <c r="Q77" s="8"/>
      <c r="R77" s="28"/>
    </row>
    <row r="78" ht="15" customHeight="1" spans="1:18">
      <c r="A78" s="7"/>
      <c r="B78" s="96" t="s">
        <v>86</v>
      </c>
      <c r="C78" s="96" t="s">
        <v>60</v>
      </c>
      <c r="D78" s="97"/>
      <c r="E78" s="98"/>
      <c r="F78" s="99"/>
      <c r="G78" s="100"/>
      <c r="H78" s="8"/>
      <c r="I78" s="8"/>
      <c r="J78" s="8"/>
      <c r="K78" s="8"/>
      <c r="L78" s="8"/>
      <c r="M78" s="8"/>
      <c r="N78" s="8"/>
      <c r="O78" s="8"/>
      <c r="P78" s="8"/>
      <c r="Q78" s="8"/>
      <c r="R78" s="28"/>
    </row>
    <row r="79" ht="15" customHeight="1" spans="1:18">
      <c r="A79" s="7"/>
      <c r="B79" s="96" t="s">
        <v>87</v>
      </c>
      <c r="C79" s="96" t="s">
        <v>61</v>
      </c>
      <c r="D79" s="97"/>
      <c r="E79" s="98"/>
      <c r="F79" s="99"/>
      <c r="G79" s="100"/>
      <c r="H79" s="8"/>
      <c r="I79" s="8"/>
      <c r="J79" s="8"/>
      <c r="K79" s="8"/>
      <c r="L79" s="8"/>
      <c r="M79" s="8"/>
      <c r="N79" s="8"/>
      <c r="O79" s="8"/>
      <c r="P79" s="8"/>
      <c r="Q79" s="8"/>
      <c r="R79" s="28"/>
    </row>
    <row r="80" ht="15" customHeight="1" spans="1:18">
      <c r="A80" s="7"/>
      <c r="B80" s="96" t="s">
        <v>88</v>
      </c>
      <c r="C80" s="96" t="s">
        <v>62</v>
      </c>
      <c r="D80" s="97"/>
      <c r="E80" s="98"/>
      <c r="F80" s="99"/>
      <c r="G80" s="100"/>
      <c r="H80" s="8"/>
      <c r="I80" s="8"/>
      <c r="J80" s="8"/>
      <c r="K80" s="8"/>
      <c r="L80" s="8"/>
      <c r="M80" s="8"/>
      <c r="N80" s="8"/>
      <c r="O80" s="8"/>
      <c r="P80" s="8"/>
      <c r="Q80" s="8"/>
      <c r="R80" s="28"/>
    </row>
    <row r="81" ht="15" customHeight="1" spans="1:18">
      <c r="A81" s="7"/>
      <c r="B81" s="96" t="s">
        <v>89</v>
      </c>
      <c r="C81" s="96" t="s">
        <v>63</v>
      </c>
      <c r="D81" s="97"/>
      <c r="E81" s="98"/>
      <c r="F81" s="99"/>
      <c r="G81" s="100"/>
      <c r="H81" s="8"/>
      <c r="I81" s="8"/>
      <c r="J81" s="8"/>
      <c r="K81" s="8"/>
      <c r="L81" s="8"/>
      <c r="M81" s="8"/>
      <c r="N81" s="8"/>
      <c r="O81" s="8"/>
      <c r="P81" s="8"/>
      <c r="Q81" s="8"/>
      <c r="R81" s="28"/>
    </row>
    <row r="82" ht="15" customHeight="1" spans="1:18">
      <c r="A82" s="7"/>
      <c r="B82" s="96" t="s">
        <v>90</v>
      </c>
      <c r="C82" s="96" t="s">
        <v>64</v>
      </c>
      <c r="D82" s="97"/>
      <c r="E82" s="98"/>
      <c r="F82" s="99"/>
      <c r="G82" s="100"/>
      <c r="H82" s="8"/>
      <c r="I82" s="8"/>
      <c r="J82" s="8"/>
      <c r="K82" s="8"/>
      <c r="L82" s="8"/>
      <c r="M82" s="8"/>
      <c r="N82" s="8"/>
      <c r="O82" s="8"/>
      <c r="P82" s="8"/>
      <c r="Q82" s="8"/>
      <c r="R82" s="28"/>
    </row>
    <row r="83" ht="15" customHeight="1" spans="1:18">
      <c r="A83" s="7"/>
      <c r="B83" s="96" t="s">
        <v>91</v>
      </c>
      <c r="C83" s="96" t="s">
        <v>65</v>
      </c>
      <c r="D83" s="97"/>
      <c r="E83" s="98"/>
      <c r="F83" s="99"/>
      <c r="G83" s="100"/>
      <c r="H83" s="8"/>
      <c r="I83" s="8"/>
      <c r="J83" s="8"/>
      <c r="K83" s="8"/>
      <c r="L83" s="8"/>
      <c r="M83" s="8"/>
      <c r="N83" s="8"/>
      <c r="O83" s="8"/>
      <c r="P83" s="8"/>
      <c r="Q83" s="8"/>
      <c r="R83" s="28"/>
    </row>
    <row r="84" ht="15" customHeight="1" spans="1:18">
      <c r="A84" s="7"/>
      <c r="B84" s="96" t="s">
        <v>92</v>
      </c>
      <c r="C84" s="96" t="s">
        <v>66</v>
      </c>
      <c r="D84" s="97"/>
      <c r="E84" s="98"/>
      <c r="F84" s="99"/>
      <c r="G84" s="100"/>
      <c r="H84" s="8"/>
      <c r="I84" s="8"/>
      <c r="J84" s="8"/>
      <c r="K84" s="8"/>
      <c r="L84" s="8"/>
      <c r="M84" s="8"/>
      <c r="N84" s="8"/>
      <c r="O84" s="8"/>
      <c r="P84" s="8"/>
      <c r="Q84" s="8"/>
      <c r="R84" s="28"/>
    </row>
    <row r="85" ht="15" customHeight="1" spans="1:18">
      <c r="A85" s="7"/>
      <c r="B85" s="101" t="s">
        <v>67</v>
      </c>
      <c r="C85" s="102"/>
      <c r="D85" s="103"/>
      <c r="E85" s="100"/>
      <c r="F85" s="104"/>
      <c r="G85" s="100"/>
      <c r="H85" s="8"/>
      <c r="I85" s="8"/>
      <c r="J85" s="8"/>
      <c r="K85" s="8"/>
      <c r="L85" s="8"/>
      <c r="M85" s="8"/>
      <c r="N85" s="8"/>
      <c r="O85" s="8"/>
      <c r="P85" s="8"/>
      <c r="Q85" s="8"/>
      <c r="R85" s="28"/>
    </row>
    <row r="86" ht="15" customHeight="1" spans="1:18">
      <c r="A86" s="7"/>
      <c r="B86" s="105" t="s">
        <v>70</v>
      </c>
      <c r="C86" s="22"/>
      <c r="D86" s="106"/>
      <c r="E86" s="23"/>
      <c r="F86" s="107"/>
      <c r="G86" s="23"/>
      <c r="H86" s="8"/>
      <c r="I86" s="8"/>
      <c r="J86" s="8"/>
      <c r="K86" s="8"/>
      <c r="L86" s="8"/>
      <c r="M86" s="8"/>
      <c r="N86" s="8"/>
      <c r="O86" s="8"/>
      <c r="P86" s="8"/>
      <c r="Q86" s="8"/>
      <c r="R86" s="28"/>
    </row>
    <row r="87" ht="15.75" customHeight="1" spans="1:18">
      <c r="A87" s="7"/>
      <c r="B87" s="8"/>
      <c r="C87" s="8"/>
      <c r="D87" s="108"/>
      <c r="E87" s="8"/>
      <c r="F87" s="10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28"/>
    </row>
    <row r="88" spans="1:1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28"/>
    </row>
    <row r="89" spans="1:18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28"/>
    </row>
    <row r="90" spans="1:18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28"/>
    </row>
    <row r="91" spans="1:18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28"/>
    </row>
    <row r="92" spans="1:18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28"/>
    </row>
    <row r="93" spans="1:18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28"/>
    </row>
    <row r="94" spans="1:18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28"/>
    </row>
    <row r="95" spans="1:18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28"/>
    </row>
    <row r="96" spans="1:18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28"/>
    </row>
    <row r="97" spans="1:18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28"/>
    </row>
    <row r="98" spans="1:18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28"/>
    </row>
    <row r="99" spans="1:18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28"/>
    </row>
    <row r="100" spans="1:18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28"/>
    </row>
    <row r="101" spans="1:18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28"/>
    </row>
    <row r="102" spans="1:18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28"/>
    </row>
    <row r="103" spans="1:18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28"/>
    </row>
    <row r="104" spans="1:18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28"/>
    </row>
    <row r="105" spans="1:18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28"/>
    </row>
    <row r="106" spans="1:18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28"/>
    </row>
    <row r="107" spans="1:18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28"/>
    </row>
    <row r="108" spans="1:18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28"/>
    </row>
    <row r="109" spans="1:18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28"/>
    </row>
    <row r="110" spans="1:18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28"/>
    </row>
    <row r="111" spans="1:18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28"/>
    </row>
    <row r="112" spans="1:18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28"/>
    </row>
    <row r="113" spans="1:18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28"/>
    </row>
    <row r="114" spans="1:18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28"/>
    </row>
    <row r="115" spans="1:18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28"/>
    </row>
    <row r="116" ht="13.25" spans="1:18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79"/>
    </row>
    <row r="117" ht="14" spans="1:18">
      <c r="A117" s="1"/>
      <c r="B117" s="2"/>
      <c r="C117" s="3"/>
      <c r="D117" s="4" t="s">
        <v>45</v>
      </c>
      <c r="E117" s="5"/>
      <c r="F117" s="5"/>
      <c r="G117" s="5"/>
      <c r="H117" s="5"/>
      <c r="I117" s="5"/>
      <c r="J117" s="5"/>
      <c r="K117" s="5"/>
      <c r="L117" s="6"/>
      <c r="M117" s="4" t="s">
        <v>1</v>
      </c>
      <c r="N117" s="5"/>
      <c r="O117" s="5"/>
      <c r="P117" s="5"/>
      <c r="Q117" s="5"/>
      <c r="R117" s="6"/>
    </row>
    <row r="118" ht="14" spans="1:18">
      <c r="A118" s="7"/>
      <c r="B118" s="8"/>
      <c r="C118" s="9"/>
      <c r="D118" s="10" t="s">
        <v>46</v>
      </c>
      <c r="E118" s="11"/>
      <c r="F118" s="11"/>
      <c r="G118" s="11"/>
      <c r="H118" s="11"/>
      <c r="I118" s="11"/>
      <c r="J118" s="11"/>
      <c r="K118" s="11"/>
      <c r="L118" s="12"/>
      <c r="M118" s="13"/>
      <c r="N118" s="13"/>
      <c r="O118" s="13"/>
      <c r="P118" s="13"/>
      <c r="Q118" s="13"/>
      <c r="R118" s="14"/>
    </row>
    <row r="119" ht="13" spans="1:18">
      <c r="A119" s="7"/>
      <c r="B119" s="8"/>
      <c r="C119" s="9"/>
      <c r="D119" s="15" t="s">
        <v>47</v>
      </c>
      <c r="E119" s="16"/>
      <c r="F119" s="16"/>
      <c r="G119" s="16"/>
      <c r="H119" s="16"/>
      <c r="I119" s="16"/>
      <c r="J119" s="16"/>
      <c r="K119" s="16"/>
      <c r="L119" s="17"/>
      <c r="M119" s="18" t="s">
        <v>48</v>
      </c>
      <c r="N119" s="19"/>
      <c r="O119" s="19"/>
      <c r="P119" s="19"/>
      <c r="Q119" s="19"/>
      <c r="R119" s="20"/>
    </row>
    <row r="120" ht="14" spans="1:18">
      <c r="A120" s="7"/>
      <c r="B120" s="8"/>
      <c r="C120" s="9"/>
      <c r="D120" s="15" t="s">
        <v>49</v>
      </c>
      <c r="E120" s="16"/>
      <c r="F120" s="16"/>
      <c r="G120" s="16"/>
      <c r="H120" s="16"/>
      <c r="I120" s="16"/>
      <c r="J120" s="16"/>
      <c r="K120" s="16"/>
      <c r="L120" s="17"/>
      <c r="M120" s="13"/>
      <c r="N120" s="13"/>
      <c r="O120" s="13"/>
      <c r="P120" s="13"/>
      <c r="Q120" s="13"/>
      <c r="R120" s="14"/>
    </row>
    <row r="121" ht="14.75" spans="1:18">
      <c r="A121" s="21"/>
      <c r="B121" s="22"/>
      <c r="C121" s="23"/>
      <c r="D121" s="24"/>
      <c r="E121" s="25"/>
      <c r="F121" s="25"/>
      <c r="G121" s="25"/>
      <c r="H121" s="25"/>
      <c r="I121" s="25"/>
      <c r="J121" s="25"/>
      <c r="K121" s="25"/>
      <c r="L121" s="26"/>
      <c r="M121" s="25"/>
      <c r="N121" s="25"/>
      <c r="O121" s="25"/>
      <c r="P121" s="25"/>
      <c r="Q121" s="25"/>
      <c r="R121" s="26"/>
    </row>
    <row r="122" ht="14" spans="1:18">
      <c r="A122" s="7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8"/>
      <c r="R122" s="28"/>
    </row>
    <row r="123" ht="14" spans="1:18">
      <c r="A123" s="7"/>
      <c r="B123" s="13" t="s">
        <v>93</v>
      </c>
      <c r="C123" s="13"/>
      <c r="D123" s="13"/>
      <c r="E123" s="13"/>
      <c r="F123" s="13"/>
      <c r="G123" s="13"/>
      <c r="H123" s="13"/>
      <c r="I123" s="13"/>
      <c r="J123" s="30"/>
      <c r="K123" s="30"/>
      <c r="L123" s="30"/>
      <c r="M123" s="30"/>
      <c r="N123" s="30"/>
      <c r="O123" s="30"/>
      <c r="P123" s="30"/>
      <c r="Q123" s="8"/>
      <c r="R123" s="28"/>
    </row>
    <row r="124" ht="14" spans="1:18">
      <c r="A124" s="7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8"/>
      <c r="R124" s="28"/>
    </row>
    <row r="125" ht="14" spans="1:18">
      <c r="A125" s="7"/>
      <c r="B125" s="13" t="s">
        <v>94</v>
      </c>
      <c r="C125" s="13"/>
      <c r="D125" s="13"/>
      <c r="E125" s="13"/>
      <c r="F125" s="13"/>
      <c r="G125" s="13"/>
      <c r="H125" s="30"/>
      <c r="I125" s="30"/>
      <c r="J125" s="30"/>
      <c r="K125" s="30"/>
      <c r="L125" s="30"/>
      <c r="M125" s="30"/>
      <c r="N125" s="30"/>
      <c r="O125" s="30"/>
      <c r="P125" s="30"/>
      <c r="Q125" s="8"/>
      <c r="R125" s="28"/>
    </row>
    <row r="126" ht="14" spans="1:18">
      <c r="A126" s="7"/>
      <c r="B126" s="13"/>
      <c r="C126" s="13"/>
      <c r="D126" s="13"/>
      <c r="E126" s="13"/>
      <c r="F126" s="13"/>
      <c r="G126" s="13"/>
      <c r="H126" s="30"/>
      <c r="I126" s="30"/>
      <c r="J126" s="30"/>
      <c r="K126" s="30"/>
      <c r="L126" s="30"/>
      <c r="M126" s="30"/>
      <c r="N126" s="30"/>
      <c r="O126" s="30"/>
      <c r="P126" s="30"/>
      <c r="Q126" s="8"/>
      <c r="R126" s="28"/>
    </row>
    <row r="127" ht="14" spans="1:18">
      <c r="A127" s="7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8"/>
      <c r="R127" s="28"/>
    </row>
    <row r="128" ht="14" spans="1:18">
      <c r="A128" s="7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8"/>
      <c r="R128" s="28"/>
    </row>
    <row r="129" ht="14" spans="1:18">
      <c r="A129" s="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8"/>
      <c r="R129" s="28"/>
    </row>
    <row r="130" ht="14" spans="1:18">
      <c r="A130" s="7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8"/>
      <c r="R130" s="28"/>
    </row>
    <row r="131" ht="14" spans="1:18">
      <c r="A131" s="7"/>
      <c r="B131" s="13" t="s">
        <v>95</v>
      </c>
      <c r="C131" s="13"/>
      <c r="D131" s="13"/>
      <c r="E131" s="13"/>
      <c r="F131" s="13"/>
      <c r="G131" s="13"/>
      <c r="H131" s="13"/>
      <c r="I131" s="30"/>
      <c r="J131" s="30"/>
      <c r="K131" s="30"/>
      <c r="L131" s="30"/>
      <c r="M131" s="30"/>
      <c r="N131" s="30"/>
      <c r="O131" s="30"/>
      <c r="P131" s="30"/>
      <c r="Q131" s="8"/>
      <c r="R131" s="28"/>
    </row>
    <row r="132" ht="14" spans="1:18">
      <c r="A132" s="7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8"/>
      <c r="R132" s="28"/>
    </row>
    <row r="133" ht="14" spans="1:18">
      <c r="A133" s="7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8"/>
      <c r="R133" s="28"/>
    </row>
    <row r="134" ht="14" spans="1:18">
      <c r="A134" s="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8"/>
      <c r="R134" s="28"/>
    </row>
    <row r="135" ht="14" spans="1:18">
      <c r="A135" s="7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8"/>
      <c r="R135" s="28"/>
    </row>
    <row r="136" ht="14" spans="1:18">
      <c r="A136" s="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8"/>
      <c r="R136" s="28"/>
    </row>
    <row r="137" ht="14" spans="1:18">
      <c r="A137" s="7"/>
      <c r="B137" s="13" t="s">
        <v>96</v>
      </c>
      <c r="C137" s="13"/>
      <c r="D137" s="13"/>
      <c r="E137" s="13"/>
      <c r="F137" s="13"/>
      <c r="G137" s="13"/>
      <c r="H137" s="8"/>
      <c r="I137" s="30"/>
      <c r="J137" s="30"/>
      <c r="K137" s="30"/>
      <c r="L137" s="30"/>
      <c r="M137" s="30"/>
      <c r="N137" s="30"/>
      <c r="O137" s="30"/>
      <c r="P137" s="30"/>
      <c r="Q137" s="8"/>
      <c r="R137" s="28"/>
    </row>
    <row r="138" ht="14" spans="1:18">
      <c r="A138" s="7"/>
      <c r="B138" s="8"/>
      <c r="C138" s="8"/>
      <c r="D138" s="8"/>
      <c r="E138" s="8"/>
      <c r="F138" s="8"/>
      <c r="G138" s="8"/>
      <c r="H138" s="8"/>
      <c r="I138" s="30"/>
      <c r="J138" s="30"/>
      <c r="K138" s="30"/>
      <c r="L138" s="30"/>
      <c r="M138" s="30"/>
      <c r="N138" s="30"/>
      <c r="O138" s="30"/>
      <c r="P138" s="30"/>
      <c r="Q138" s="8"/>
      <c r="R138" s="28"/>
    </row>
    <row r="139" ht="14" spans="1:18">
      <c r="A139" s="7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8"/>
      <c r="R139" s="28"/>
    </row>
    <row r="140" ht="14" spans="1:18">
      <c r="A140" s="7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8"/>
      <c r="R140" s="28"/>
    </row>
    <row r="141" ht="14" spans="1:18">
      <c r="A141" s="7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8"/>
      <c r="R141" s="28"/>
    </row>
    <row r="142" ht="14" spans="1:18">
      <c r="A142" s="7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8"/>
      <c r="R142" s="28"/>
    </row>
    <row r="143" ht="14" spans="1:18">
      <c r="A143" s="7"/>
      <c r="B143" s="13" t="s">
        <v>97</v>
      </c>
      <c r="C143" s="13"/>
      <c r="D143" s="13"/>
      <c r="E143" s="13"/>
      <c r="F143" s="13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8"/>
      <c r="R143" s="28"/>
    </row>
    <row r="144" ht="14" spans="1:18">
      <c r="A144" s="7"/>
      <c r="B144" s="8"/>
      <c r="C144" s="8"/>
      <c r="D144" s="8"/>
      <c r="E144" s="8"/>
      <c r="F144" s="8"/>
      <c r="G144" s="8"/>
      <c r="H144" s="13"/>
      <c r="I144" s="30"/>
      <c r="J144" s="30"/>
      <c r="K144" s="30"/>
      <c r="L144" s="30"/>
      <c r="M144" s="30"/>
      <c r="N144" s="30"/>
      <c r="O144" s="30"/>
      <c r="P144" s="30"/>
      <c r="Q144" s="8"/>
      <c r="R144" s="28"/>
    </row>
    <row r="145" ht="14" spans="1:18">
      <c r="A145" s="7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8"/>
      <c r="R145" s="28"/>
    </row>
    <row r="146" ht="14" spans="1:18">
      <c r="A146" s="7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8"/>
      <c r="R146" s="28"/>
    </row>
    <row r="147" ht="14" spans="1:18">
      <c r="A147" s="7"/>
      <c r="B147" s="109"/>
      <c r="C147" s="8"/>
      <c r="D147" s="8"/>
      <c r="E147" s="8"/>
      <c r="F147" s="8"/>
      <c r="G147" s="8"/>
      <c r="H147" s="8"/>
      <c r="I147" s="30"/>
      <c r="J147" s="30"/>
      <c r="K147" s="30"/>
      <c r="L147" s="30"/>
      <c r="M147" s="30"/>
      <c r="N147" s="30"/>
      <c r="O147" s="30"/>
      <c r="P147" s="30"/>
      <c r="Q147" s="8"/>
      <c r="R147" s="28"/>
    </row>
    <row r="148" ht="14" spans="1:18">
      <c r="A148" s="7"/>
      <c r="B148" s="109"/>
      <c r="C148" s="8"/>
      <c r="D148" s="8"/>
      <c r="E148" s="8"/>
      <c r="F148" s="8"/>
      <c r="G148" s="8"/>
      <c r="H148" s="8"/>
      <c r="I148" s="30"/>
      <c r="J148" s="30"/>
      <c r="K148" s="30"/>
      <c r="L148" s="30"/>
      <c r="M148" s="30"/>
      <c r="N148" s="30"/>
      <c r="O148" s="30"/>
      <c r="P148" s="30"/>
      <c r="Q148" s="8"/>
      <c r="R148" s="28"/>
    </row>
    <row r="149" ht="14" spans="1:18">
      <c r="A149" s="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8"/>
      <c r="R149" s="28"/>
    </row>
    <row r="150" ht="14" spans="1:18">
      <c r="A150" s="7"/>
      <c r="B150" s="8"/>
      <c r="C150" s="8"/>
      <c r="D150" s="8"/>
      <c r="E150" s="8"/>
      <c r="F150" s="8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8"/>
      <c r="R150" s="28"/>
    </row>
    <row r="151" ht="14" spans="1:18">
      <c r="A151" s="7"/>
      <c r="B151" s="30"/>
      <c r="C151" s="30"/>
      <c r="D151" s="30"/>
      <c r="E151" s="30"/>
      <c r="F151" s="30"/>
      <c r="G151" s="30"/>
      <c r="H151" s="30"/>
      <c r="I151" s="30"/>
      <c r="J151" s="30"/>
      <c r="K151" s="110" t="s">
        <v>98</v>
      </c>
      <c r="L151" s="110"/>
      <c r="M151" s="110"/>
      <c r="N151" s="110"/>
      <c r="O151" s="110"/>
      <c r="P151" s="30"/>
      <c r="Q151" s="8"/>
      <c r="R151" s="28"/>
    </row>
    <row r="152" ht="14" spans="1:18">
      <c r="A152" s="7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8"/>
      <c r="R152" s="28"/>
    </row>
    <row r="153" ht="14" spans="1:18">
      <c r="A153" s="7"/>
      <c r="B153" s="111" t="s">
        <v>27</v>
      </c>
      <c r="C153" s="111"/>
      <c r="D153" s="111"/>
      <c r="E153" s="111"/>
      <c r="F153" s="30"/>
      <c r="G153" s="30"/>
      <c r="H153" s="30"/>
      <c r="I153" s="30"/>
      <c r="J153" s="30"/>
      <c r="K153" s="111" t="s">
        <v>28</v>
      </c>
      <c r="L153" s="111"/>
      <c r="M153" s="111"/>
      <c r="N153" s="111"/>
      <c r="O153" s="111"/>
      <c r="P153" s="30"/>
      <c r="Q153" s="8"/>
      <c r="R153" s="28"/>
    </row>
    <row r="154" ht="14" spans="1:18">
      <c r="A154" s="7"/>
      <c r="B154" s="111" t="s">
        <v>99</v>
      </c>
      <c r="C154" s="111"/>
      <c r="D154" s="111"/>
      <c r="E154" s="111"/>
      <c r="F154" s="30"/>
      <c r="G154" s="30"/>
      <c r="H154" s="30"/>
      <c r="I154" s="30"/>
      <c r="J154" s="30"/>
      <c r="K154" s="111" t="s">
        <v>100</v>
      </c>
      <c r="L154" s="111"/>
      <c r="M154" s="111"/>
      <c r="N154" s="111"/>
      <c r="O154" s="111"/>
      <c r="P154" s="30"/>
      <c r="Q154" s="8"/>
      <c r="R154" s="28"/>
    </row>
    <row r="155" ht="14" spans="1:18">
      <c r="A155" s="7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8"/>
      <c r="R155" s="28"/>
    </row>
    <row r="156" ht="14" spans="1:18">
      <c r="A156" s="7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8"/>
      <c r="R156" s="28"/>
    </row>
    <row r="157" ht="14" spans="1:18">
      <c r="A157" s="7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8"/>
      <c r="R157" s="28"/>
    </row>
    <row r="158" ht="14" spans="1:18">
      <c r="A158" s="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8"/>
      <c r="R158" s="28"/>
    </row>
    <row r="159" ht="14" spans="1:18">
      <c r="A159" s="7"/>
      <c r="B159" s="11" t="s">
        <v>101</v>
      </c>
      <c r="C159" s="11"/>
      <c r="D159" s="11"/>
      <c r="E159" s="11"/>
      <c r="F159" s="30"/>
      <c r="G159" s="30"/>
      <c r="H159" s="30"/>
      <c r="I159" s="30"/>
      <c r="J159" s="30"/>
      <c r="K159" s="82" t="s">
        <v>102</v>
      </c>
      <c r="L159" s="82"/>
      <c r="M159" s="82"/>
      <c r="N159" s="82"/>
      <c r="O159" s="82"/>
      <c r="P159" s="30"/>
      <c r="Q159" s="8"/>
      <c r="R159" s="28"/>
    </row>
    <row r="160" ht="14" spans="1:18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30"/>
      <c r="Q160" s="8"/>
      <c r="R160" s="28"/>
    </row>
    <row r="161" ht="14" spans="1:18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30"/>
      <c r="Q161" s="8"/>
      <c r="R161" s="28"/>
    </row>
    <row r="162" ht="14" spans="1:18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30"/>
      <c r="Q162" s="8"/>
      <c r="R162" s="28"/>
    </row>
    <row r="163" ht="14" spans="1:18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30"/>
      <c r="Q163" s="8"/>
      <c r="R163" s="28"/>
    </row>
    <row r="164" ht="14" spans="1:18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30"/>
      <c r="Q164" s="8"/>
      <c r="R164" s="28"/>
    </row>
    <row r="165" ht="14" spans="1:18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30"/>
      <c r="Q165" s="8"/>
      <c r="R165" s="28"/>
    </row>
    <row r="166" ht="14" spans="1:18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30"/>
      <c r="Q166" s="8"/>
      <c r="R166" s="28"/>
    </row>
    <row r="167" ht="14" spans="1:18">
      <c r="A167" s="7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8"/>
      <c r="O167" s="8"/>
      <c r="P167" s="8"/>
      <c r="Q167" s="8"/>
      <c r="R167" s="28"/>
    </row>
    <row r="168" ht="14" spans="1:18">
      <c r="A168" s="7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8"/>
      <c r="O168" s="8"/>
      <c r="P168" s="8"/>
      <c r="Q168" s="8"/>
      <c r="R168" s="28"/>
    </row>
    <row r="169" ht="14" spans="1:18">
      <c r="A169" s="7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8"/>
      <c r="O169" s="8"/>
      <c r="P169" s="8"/>
      <c r="Q169" s="8"/>
      <c r="R169" s="28"/>
    </row>
    <row r="170" ht="14.75" spans="1:18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5"/>
      <c r="O170" s="25"/>
      <c r="P170" s="25"/>
      <c r="Q170" s="22"/>
      <c r="R170" s="79"/>
    </row>
  </sheetData>
  <mergeCells count="31">
    <mergeCell ref="D1:L1"/>
    <mergeCell ref="M1:R1"/>
    <mergeCell ref="D2:L2"/>
    <mergeCell ref="D3:L3"/>
    <mergeCell ref="M3:R3"/>
    <mergeCell ref="D4:L4"/>
    <mergeCell ref="B9:Q9"/>
    <mergeCell ref="D60:L60"/>
    <mergeCell ref="M60:R60"/>
    <mergeCell ref="D61:L61"/>
    <mergeCell ref="D62:L62"/>
    <mergeCell ref="M62:R62"/>
    <mergeCell ref="D63:L63"/>
    <mergeCell ref="D69:E69"/>
    <mergeCell ref="F69:G69"/>
    <mergeCell ref="D70:E70"/>
    <mergeCell ref="F70:G70"/>
    <mergeCell ref="D117:L117"/>
    <mergeCell ref="M117:R117"/>
    <mergeCell ref="D118:L118"/>
    <mergeCell ref="D119:L119"/>
    <mergeCell ref="M119:R119"/>
    <mergeCell ref="D120:L120"/>
    <mergeCell ref="K151:O151"/>
    <mergeCell ref="B153:E153"/>
    <mergeCell ref="K153:O153"/>
    <mergeCell ref="B154:E154"/>
    <mergeCell ref="K154:O154"/>
    <mergeCell ref="B159:E159"/>
    <mergeCell ref="B69:B70"/>
    <mergeCell ref="C69:C70"/>
  </mergeCells>
  <pageMargins left="0" right="0" top="0.75" bottom="0.75" header="0.3" footer="0.3"/>
  <pageSetup paperSize="9" scale="95" orientation="portrait" vertic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0"/>
  <sheetViews>
    <sheetView showGridLines="0" tabSelected="1" zoomScaleSheetLayoutView="60" workbookViewId="0">
      <selection activeCell="E12" sqref="E12"/>
    </sheetView>
  </sheetViews>
  <sheetFormatPr defaultColWidth="8.72727272727273" defaultRowHeight="12.5"/>
  <cols>
    <col min="1" max="1" width="3.13636363636364" customWidth="1"/>
    <col min="2" max="2" width="11.1363636363636" customWidth="1"/>
    <col min="3" max="3" width="6.85454545454545" customWidth="1"/>
    <col min="4" max="17" width="5.70909090909091" customWidth="1"/>
    <col min="18" max="18" width="3.57272727272727" customWidth="1"/>
  </cols>
  <sheetData>
    <row r="1" ht="14" spans="1:18">
      <c r="A1" s="1"/>
      <c r="B1" s="2"/>
      <c r="C1" s="3"/>
      <c r="D1" s="4" t="s">
        <v>45</v>
      </c>
      <c r="E1" s="5"/>
      <c r="F1" s="5"/>
      <c r="G1" s="5"/>
      <c r="H1" s="5"/>
      <c r="I1" s="5"/>
      <c r="J1" s="5"/>
      <c r="K1" s="5"/>
      <c r="L1" s="6"/>
      <c r="M1" s="4" t="s">
        <v>1</v>
      </c>
      <c r="N1" s="5"/>
      <c r="O1" s="5"/>
      <c r="P1" s="5"/>
      <c r="Q1" s="5"/>
      <c r="R1" s="6"/>
    </row>
    <row r="2" ht="14" spans="1:18">
      <c r="A2" s="7"/>
      <c r="B2" s="8"/>
      <c r="C2" s="9"/>
      <c r="D2" s="10" t="s">
        <v>46</v>
      </c>
      <c r="E2" s="11"/>
      <c r="F2" s="11"/>
      <c r="G2" s="11"/>
      <c r="H2" s="11"/>
      <c r="I2" s="11"/>
      <c r="J2" s="11"/>
      <c r="K2" s="11"/>
      <c r="L2" s="12"/>
      <c r="M2" s="13"/>
      <c r="N2" s="13"/>
      <c r="O2" s="13"/>
      <c r="P2" s="13"/>
      <c r="Q2" s="13"/>
      <c r="R2" s="14"/>
    </row>
    <row r="3" ht="13" spans="1:18">
      <c r="A3" s="7"/>
      <c r="B3" s="8"/>
      <c r="C3" s="9"/>
      <c r="D3" s="15" t="s">
        <v>47</v>
      </c>
      <c r="E3" s="16"/>
      <c r="F3" s="16"/>
      <c r="G3" s="16"/>
      <c r="H3" s="16"/>
      <c r="I3" s="16"/>
      <c r="J3" s="16"/>
      <c r="K3" s="16"/>
      <c r="L3" s="17"/>
      <c r="M3" s="18" t="s">
        <v>103</v>
      </c>
      <c r="N3" s="19"/>
      <c r="O3" s="19"/>
      <c r="P3" s="19"/>
      <c r="Q3" s="19"/>
      <c r="R3" s="20"/>
    </row>
    <row r="4" ht="14" spans="1:18">
      <c r="A4" s="7"/>
      <c r="B4" s="8"/>
      <c r="C4" s="9"/>
      <c r="D4" s="15" t="s">
        <v>49</v>
      </c>
      <c r="E4" s="16"/>
      <c r="F4" s="16"/>
      <c r="G4" s="16"/>
      <c r="H4" s="16"/>
      <c r="I4" s="16"/>
      <c r="J4" s="16"/>
      <c r="K4" s="16"/>
      <c r="L4" s="17"/>
      <c r="M4" s="13"/>
      <c r="N4" s="13"/>
      <c r="O4" s="13"/>
      <c r="P4" s="13"/>
      <c r="Q4" s="13"/>
      <c r="R4" s="14"/>
    </row>
    <row r="5" ht="14.75" spans="1:18">
      <c r="A5" s="21"/>
      <c r="B5" s="22"/>
      <c r="C5" s="23"/>
      <c r="D5" s="24"/>
      <c r="E5" s="25"/>
      <c r="F5" s="25"/>
      <c r="G5" s="25"/>
      <c r="H5" s="25"/>
      <c r="I5" s="25"/>
      <c r="J5" s="25"/>
      <c r="K5" s="25"/>
      <c r="L5" s="26"/>
      <c r="M5" s="25"/>
      <c r="N5" s="25"/>
      <c r="O5" s="25"/>
      <c r="P5" s="25"/>
      <c r="Q5" s="25"/>
      <c r="R5" s="26"/>
    </row>
    <row r="6" spans="1:18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27"/>
      <c r="N6" s="27"/>
      <c r="O6" s="27"/>
      <c r="P6" s="27"/>
      <c r="Q6" s="27"/>
      <c r="R6" s="28"/>
    </row>
    <row r="7" ht="14" spans="1:18">
      <c r="A7" s="7"/>
      <c r="B7" s="29" t="s">
        <v>50</v>
      </c>
      <c r="C7" s="13"/>
      <c r="D7" s="13"/>
      <c r="E7" s="13"/>
      <c r="F7" s="13"/>
      <c r="G7" s="13"/>
      <c r="H7" s="13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4" spans="1:18">
      <c r="A8" s="7"/>
      <c r="B8" s="29"/>
      <c r="C8" s="13"/>
      <c r="D8" s="13"/>
      <c r="E8" s="13"/>
      <c r="F8" s="13"/>
      <c r="G8" s="13"/>
      <c r="H8" s="13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4" spans="1:18">
      <c r="A9" s="7"/>
      <c r="B9" s="29" t="s">
        <v>51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8"/>
    </row>
    <row r="10" spans="1:18">
      <c r="A10" s="7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28"/>
    </row>
    <row r="11" ht="22.5" customHeight="1" spans="1:18">
      <c r="A11" s="7"/>
      <c r="B11" s="32" t="s">
        <v>52</v>
      </c>
      <c r="C11" s="33" t="s">
        <v>53</v>
      </c>
      <c r="D11" s="34" t="s">
        <v>54</v>
      </c>
      <c r="E11" s="34" t="s">
        <v>55</v>
      </c>
      <c r="F11" s="34" t="s">
        <v>56</v>
      </c>
      <c r="G11" s="34" t="s">
        <v>57</v>
      </c>
      <c r="H11" s="34" t="s">
        <v>58</v>
      </c>
      <c r="I11" s="34" t="s">
        <v>59</v>
      </c>
      <c r="J11" s="34" t="s">
        <v>60</v>
      </c>
      <c r="K11" s="34" t="s">
        <v>61</v>
      </c>
      <c r="L11" s="34" t="s">
        <v>62</v>
      </c>
      <c r="M11" s="34" t="s">
        <v>63</v>
      </c>
      <c r="N11" s="34" t="s">
        <v>64</v>
      </c>
      <c r="O11" s="34" t="s">
        <v>65</v>
      </c>
      <c r="P11" s="35" t="s">
        <v>66</v>
      </c>
      <c r="Q11" s="36" t="s">
        <v>67</v>
      </c>
      <c r="R11" s="28"/>
    </row>
    <row r="12" spans="1:18">
      <c r="A12" s="7"/>
      <c r="B12" s="37">
        <v>1</v>
      </c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/>
      <c r="Q12" s="41"/>
      <c r="R12" s="28"/>
    </row>
    <row r="13" spans="1:18">
      <c r="A13" s="7"/>
      <c r="B13" s="42">
        <v>2</v>
      </c>
      <c r="C13" s="43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6"/>
      <c r="R13" s="28"/>
    </row>
    <row r="14" spans="1:18">
      <c r="A14" s="7"/>
      <c r="B14" s="42">
        <v>3</v>
      </c>
      <c r="C14" s="4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5"/>
      <c r="Q14" s="46"/>
      <c r="R14" s="28"/>
    </row>
    <row r="15" spans="1:18">
      <c r="A15" s="7"/>
      <c r="B15" s="42">
        <v>4</v>
      </c>
      <c r="C15" s="43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5"/>
      <c r="Q15" s="46"/>
      <c r="R15" s="28"/>
    </row>
    <row r="16" spans="1:18">
      <c r="A16" s="7"/>
      <c r="B16" s="42">
        <v>5</v>
      </c>
      <c r="C16" s="43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5"/>
      <c r="Q16" s="46"/>
      <c r="R16" s="28"/>
    </row>
    <row r="17" spans="1:18">
      <c r="A17" s="7"/>
      <c r="B17" s="42">
        <v>6</v>
      </c>
      <c r="C17" s="43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  <c r="Q17" s="46"/>
      <c r="R17" s="28"/>
    </row>
    <row r="18" spans="1:18">
      <c r="A18" s="7"/>
      <c r="B18" s="42">
        <v>7</v>
      </c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46"/>
      <c r="R18" s="28"/>
    </row>
    <row r="19" spans="1:18">
      <c r="A19" s="7"/>
      <c r="B19" s="42">
        <v>8</v>
      </c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5"/>
      <c r="Q19" s="46"/>
      <c r="R19" s="28"/>
    </row>
    <row r="20" spans="1:18">
      <c r="A20" s="7"/>
      <c r="B20" s="42">
        <v>9</v>
      </c>
      <c r="C20" s="43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46"/>
      <c r="R20" s="28"/>
    </row>
    <row r="21" spans="1:18">
      <c r="A21" s="7"/>
      <c r="B21" s="42">
        <v>10</v>
      </c>
      <c r="C21" s="4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5"/>
      <c r="Q21" s="46"/>
      <c r="R21" s="28"/>
    </row>
    <row r="22" spans="1:18">
      <c r="A22" s="7"/>
      <c r="B22" s="42"/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46"/>
      <c r="R22" s="28"/>
    </row>
    <row r="23" spans="1:18">
      <c r="A23" s="7"/>
      <c r="B23" s="42"/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5"/>
      <c r="Q23" s="46"/>
      <c r="R23" s="28"/>
    </row>
    <row r="24" spans="1:18">
      <c r="A24" s="7"/>
      <c r="B24" s="42"/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5"/>
      <c r="Q24" s="46"/>
      <c r="R24" s="28"/>
    </row>
    <row r="25" spans="1:18">
      <c r="A25" s="7"/>
      <c r="B25" s="42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46"/>
      <c r="R25" s="28"/>
    </row>
    <row r="26" spans="1:18">
      <c r="A26" s="7"/>
      <c r="B26" s="42"/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6"/>
      <c r="R26" s="28"/>
    </row>
    <row r="27" spans="1:18">
      <c r="A27" s="7"/>
      <c r="B27" s="47"/>
      <c r="C27" s="48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51"/>
      <c r="R27" s="28"/>
    </row>
    <row r="28" spans="1:18">
      <c r="A28" s="7"/>
      <c r="B28" s="47"/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0"/>
      <c r="Q28" s="51"/>
      <c r="R28" s="28"/>
    </row>
    <row r="29" ht="13.25" spans="1:18">
      <c r="A29" s="7"/>
      <c r="B29" s="47" t="s">
        <v>68</v>
      </c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0"/>
      <c r="Q29" s="51"/>
      <c r="R29" s="28"/>
    </row>
    <row r="30" spans="1:18">
      <c r="A30" s="7"/>
      <c r="B30" s="52" t="s">
        <v>69</v>
      </c>
      <c r="C30" s="53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5"/>
      <c r="Q30" s="56"/>
      <c r="R30" s="28"/>
    </row>
    <row r="31" spans="1:18">
      <c r="A31" s="7"/>
      <c r="B31" s="42" t="s">
        <v>70</v>
      </c>
      <c r="C31" s="57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60"/>
      <c r="R31" s="28"/>
    </row>
    <row r="32" spans="1:18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28"/>
    </row>
    <row r="33" ht="14" spans="1:18">
      <c r="A33" s="7"/>
      <c r="B33" s="13" t="s">
        <v>71</v>
      </c>
      <c r="C33" s="13"/>
      <c r="D33" s="13"/>
      <c r="E33" s="13"/>
      <c r="F33" s="13"/>
      <c r="G33" s="13"/>
      <c r="H33" s="61"/>
      <c r="I33" s="61"/>
      <c r="J33" s="8"/>
      <c r="K33" s="8"/>
      <c r="L33" s="8"/>
      <c r="M33" s="8"/>
      <c r="N33" s="8"/>
      <c r="O33" s="8"/>
      <c r="P33" s="8"/>
      <c r="Q33" s="8"/>
      <c r="R33" s="28"/>
    </row>
    <row r="34" ht="14.75" spans="1:18">
      <c r="A34" s="7"/>
      <c r="B34" s="30"/>
      <c r="C34" s="30"/>
      <c r="D34" s="30"/>
      <c r="E34" s="30"/>
      <c r="F34" s="30"/>
      <c r="G34" s="30"/>
      <c r="H34" s="8"/>
      <c r="I34" s="8"/>
      <c r="J34" s="8"/>
      <c r="K34" s="8"/>
      <c r="L34" s="8"/>
      <c r="M34" s="8"/>
      <c r="N34" s="8"/>
      <c r="O34" s="8"/>
      <c r="P34" s="8"/>
      <c r="Q34" s="8"/>
      <c r="R34" s="28"/>
    </row>
    <row r="35" ht="19.5" customHeight="1" spans="1:18">
      <c r="A35" s="7"/>
      <c r="B35" s="62" t="s">
        <v>52</v>
      </c>
      <c r="C35" s="63" t="s">
        <v>53</v>
      </c>
      <c r="D35" s="64" t="s">
        <v>54</v>
      </c>
      <c r="E35" s="64" t="s">
        <v>55</v>
      </c>
      <c r="F35" s="64" t="s">
        <v>56</v>
      </c>
      <c r="G35" s="64" t="s">
        <v>57</v>
      </c>
      <c r="H35" s="64" t="s">
        <v>58</v>
      </c>
      <c r="I35" s="64" t="s">
        <v>59</v>
      </c>
      <c r="J35" s="64" t="s">
        <v>60</v>
      </c>
      <c r="K35" s="64" t="s">
        <v>61</v>
      </c>
      <c r="L35" s="64" t="s">
        <v>62</v>
      </c>
      <c r="M35" s="64" t="s">
        <v>63</v>
      </c>
      <c r="N35" s="64" t="s">
        <v>64</v>
      </c>
      <c r="O35" s="64" t="s">
        <v>65</v>
      </c>
      <c r="P35" s="65" t="s">
        <v>66</v>
      </c>
      <c r="Q35" s="62" t="s">
        <v>67</v>
      </c>
      <c r="R35" s="28"/>
    </row>
    <row r="36" spans="1:18">
      <c r="A36" s="7"/>
      <c r="B36" s="66">
        <v>1</v>
      </c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40"/>
      <c r="Q36" s="66"/>
      <c r="R36" s="28"/>
    </row>
    <row r="37" spans="1:18">
      <c r="A37" s="7"/>
      <c r="B37" s="67">
        <v>2</v>
      </c>
      <c r="C37" s="43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5"/>
      <c r="Q37" s="67"/>
      <c r="R37" s="28"/>
    </row>
    <row r="38" spans="1:18">
      <c r="A38" s="7"/>
      <c r="B38" s="67">
        <v>3</v>
      </c>
      <c r="C38" s="43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5"/>
      <c r="Q38" s="67"/>
      <c r="R38" s="28"/>
    </row>
    <row r="39" spans="1:18">
      <c r="A39" s="7"/>
      <c r="B39" s="67">
        <v>4</v>
      </c>
      <c r="C39" s="4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5"/>
      <c r="Q39" s="67"/>
      <c r="R39" s="28"/>
    </row>
    <row r="40" spans="1:18">
      <c r="A40" s="7"/>
      <c r="B40" s="67">
        <v>5</v>
      </c>
      <c r="C40" s="4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5"/>
      <c r="Q40" s="67"/>
      <c r="R40" s="28"/>
    </row>
    <row r="41" spans="1:18">
      <c r="A41" s="7"/>
      <c r="B41" s="67">
        <v>6</v>
      </c>
      <c r="C41" s="4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5"/>
      <c r="Q41" s="67"/>
      <c r="R41" s="28"/>
    </row>
    <row r="42" spans="1:18">
      <c r="A42" s="7"/>
      <c r="B42" s="67">
        <v>7</v>
      </c>
      <c r="C42" s="43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5"/>
      <c r="Q42" s="67"/>
      <c r="R42" s="28"/>
    </row>
    <row r="43" spans="1:18">
      <c r="A43" s="7"/>
      <c r="B43" s="67">
        <v>8</v>
      </c>
      <c r="C43" s="43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5"/>
      <c r="Q43" s="67"/>
      <c r="R43" s="28"/>
    </row>
    <row r="44" spans="1:18">
      <c r="A44" s="7"/>
      <c r="B44" s="67">
        <v>9</v>
      </c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5"/>
      <c r="Q44" s="67"/>
      <c r="R44" s="28"/>
    </row>
    <row r="45" spans="1:18">
      <c r="A45" s="7"/>
      <c r="B45" s="67">
        <v>10</v>
      </c>
      <c r="C45" s="43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5"/>
      <c r="Q45" s="67"/>
      <c r="R45" s="28"/>
    </row>
    <row r="46" spans="1:18">
      <c r="A46" s="7"/>
      <c r="B46" s="67"/>
      <c r="C46" s="43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5"/>
      <c r="Q46" s="67"/>
      <c r="R46" s="28"/>
    </row>
    <row r="47" spans="1:18">
      <c r="A47" s="7"/>
      <c r="B47" s="67"/>
      <c r="C47" s="43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5"/>
      <c r="Q47" s="67"/>
      <c r="R47" s="28"/>
    </row>
    <row r="48" spans="1:18">
      <c r="A48" s="7"/>
      <c r="B48" s="67"/>
      <c r="C48" s="43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5"/>
      <c r="Q48" s="67"/>
      <c r="R48" s="28"/>
    </row>
    <row r="49" spans="1:18">
      <c r="A49" s="7"/>
      <c r="B49" s="67"/>
      <c r="C49" s="43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5"/>
      <c r="Q49" s="67"/>
      <c r="R49" s="28"/>
    </row>
    <row r="50" spans="1:18">
      <c r="A50" s="7"/>
      <c r="B50" s="67"/>
      <c r="C50" s="43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5"/>
      <c r="Q50" s="67"/>
      <c r="R50" s="28"/>
    </row>
    <row r="51" spans="1:18">
      <c r="A51" s="7"/>
      <c r="B51" s="67"/>
      <c r="C51" s="43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5"/>
      <c r="Q51" s="67"/>
      <c r="R51" s="28"/>
    </row>
    <row r="52" spans="1:18">
      <c r="A52" s="7"/>
      <c r="B52" s="67"/>
      <c r="C52" s="43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5"/>
      <c r="Q52" s="67"/>
      <c r="R52" s="28"/>
    </row>
    <row r="53" ht="13.25" spans="1:18">
      <c r="A53" s="7"/>
      <c r="B53" s="68" t="s">
        <v>68</v>
      </c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0"/>
      <c r="Q53" s="68"/>
      <c r="R53" s="28"/>
    </row>
    <row r="54" spans="1:18">
      <c r="A54" s="7"/>
      <c r="B54" s="69" t="s">
        <v>69</v>
      </c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5"/>
      <c r="Q54" s="69"/>
      <c r="R54" s="28"/>
    </row>
    <row r="55" ht="13.25" spans="1:18">
      <c r="A55" s="7"/>
      <c r="B55" s="70" t="s">
        <v>70</v>
      </c>
      <c r="C55" s="71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3"/>
      <c r="Q55" s="74"/>
      <c r="R55" s="28"/>
    </row>
    <row r="56" spans="1:18">
      <c r="A56" s="7"/>
      <c r="B56" s="75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28"/>
    </row>
    <row r="57" spans="1:18">
      <c r="A57" s="7"/>
      <c r="B57" s="75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28"/>
    </row>
    <row r="58" spans="1:18">
      <c r="A58" s="7"/>
      <c r="B58" s="75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28"/>
    </row>
    <row r="59" ht="13.25" spans="1:18">
      <c r="A59" s="21"/>
      <c r="B59" s="77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9"/>
    </row>
    <row r="60" ht="14" spans="1:18">
      <c r="A60" s="1"/>
      <c r="B60" s="2"/>
      <c r="C60" s="3"/>
      <c r="D60" s="4" t="s">
        <v>45</v>
      </c>
      <c r="E60" s="5"/>
      <c r="F60" s="5"/>
      <c r="G60" s="5"/>
      <c r="H60" s="5"/>
      <c r="I60" s="5"/>
      <c r="J60" s="5"/>
      <c r="K60" s="5"/>
      <c r="L60" s="6"/>
      <c r="M60" s="4" t="s">
        <v>1</v>
      </c>
      <c r="N60" s="5"/>
      <c r="O60" s="5"/>
      <c r="P60" s="5"/>
      <c r="Q60" s="5"/>
      <c r="R60" s="6"/>
    </row>
    <row r="61" ht="14" spans="1:18">
      <c r="A61" s="7"/>
      <c r="B61" s="8"/>
      <c r="C61" s="9"/>
      <c r="D61" s="10" t="s">
        <v>46</v>
      </c>
      <c r="E61" s="11"/>
      <c r="F61" s="11"/>
      <c r="G61" s="11"/>
      <c r="H61" s="11"/>
      <c r="I61" s="11"/>
      <c r="J61" s="11"/>
      <c r="K61" s="11"/>
      <c r="L61" s="12"/>
      <c r="M61" s="13"/>
      <c r="N61" s="13"/>
      <c r="O61" s="13"/>
      <c r="P61" s="13"/>
      <c r="Q61" s="13"/>
      <c r="R61" s="14"/>
    </row>
    <row r="62" ht="13" spans="1:18">
      <c r="A62" s="7"/>
      <c r="B62" s="8"/>
      <c r="C62" s="9"/>
      <c r="D62" s="15" t="s">
        <v>47</v>
      </c>
      <c r="E62" s="16"/>
      <c r="F62" s="16"/>
      <c r="G62" s="16"/>
      <c r="H62" s="16"/>
      <c r="I62" s="16"/>
      <c r="J62" s="16"/>
      <c r="K62" s="16"/>
      <c r="L62" s="17"/>
      <c r="M62" s="18" t="s">
        <v>103</v>
      </c>
      <c r="N62" s="19"/>
      <c r="O62" s="19"/>
      <c r="P62" s="19"/>
      <c r="Q62" s="19"/>
      <c r="R62" s="20"/>
    </row>
    <row r="63" ht="14" spans="1:18">
      <c r="A63" s="7"/>
      <c r="B63" s="8"/>
      <c r="C63" s="9"/>
      <c r="D63" s="15" t="s">
        <v>49</v>
      </c>
      <c r="E63" s="16"/>
      <c r="F63" s="16"/>
      <c r="G63" s="16"/>
      <c r="H63" s="16"/>
      <c r="I63" s="16"/>
      <c r="J63" s="16"/>
      <c r="K63" s="16"/>
      <c r="L63" s="17"/>
      <c r="M63" s="13"/>
      <c r="N63" s="13"/>
      <c r="O63" s="13"/>
      <c r="P63" s="13"/>
      <c r="Q63" s="13"/>
      <c r="R63" s="14"/>
    </row>
    <row r="64" ht="14.75" spans="1:18">
      <c r="A64" s="21"/>
      <c r="B64" s="22"/>
      <c r="C64" s="23"/>
      <c r="D64" s="24"/>
      <c r="E64" s="25"/>
      <c r="F64" s="25"/>
      <c r="G64" s="25"/>
      <c r="H64" s="25"/>
      <c r="I64" s="25"/>
      <c r="J64" s="25"/>
      <c r="K64" s="25"/>
      <c r="L64" s="26"/>
      <c r="M64" s="25"/>
      <c r="N64" s="25"/>
      <c r="O64" s="25"/>
      <c r="P64" s="25"/>
      <c r="Q64" s="25"/>
      <c r="R64" s="26"/>
    </row>
    <row r="65" ht="14" spans="1:18">
      <c r="A65" s="7"/>
      <c r="B65" s="8"/>
      <c r="C65" s="8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80"/>
    </row>
    <row r="66" ht="14" spans="1:18">
      <c r="A66" s="7"/>
      <c r="B66" s="81" t="s">
        <v>72</v>
      </c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3"/>
      <c r="R66" s="28"/>
    </row>
    <row r="67" ht="14" spans="1:18">
      <c r="A67" s="7"/>
      <c r="B67" s="84" t="s">
        <v>73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30"/>
      <c r="R67" s="28"/>
    </row>
    <row r="68" ht="13.25" spans="1:18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28"/>
    </row>
    <row r="69" ht="13" spans="1:18">
      <c r="A69" s="7"/>
      <c r="B69" s="85" t="s">
        <v>74</v>
      </c>
      <c r="C69" s="86" t="s">
        <v>75</v>
      </c>
      <c r="D69" s="85" t="s">
        <v>76</v>
      </c>
      <c r="E69" s="87"/>
      <c r="F69" s="85" t="s">
        <v>76</v>
      </c>
      <c r="G69" s="87"/>
      <c r="H69" s="8"/>
      <c r="I69" s="8"/>
      <c r="J69" s="8"/>
      <c r="K69" s="8"/>
      <c r="L69" s="8"/>
      <c r="M69" s="8"/>
      <c r="N69" s="8"/>
      <c r="O69" s="8"/>
      <c r="P69" s="8"/>
      <c r="Q69" s="8"/>
      <c r="R69" s="28"/>
    </row>
    <row r="70" ht="13.75" spans="1:18">
      <c r="A70" s="7"/>
      <c r="B70" s="88"/>
      <c r="C70" s="89"/>
      <c r="D70" s="88" t="s">
        <v>77</v>
      </c>
      <c r="E70" s="90"/>
      <c r="F70" s="88" t="s">
        <v>78</v>
      </c>
      <c r="G70" s="90"/>
      <c r="H70" s="8"/>
      <c r="I70" s="8"/>
      <c r="J70" s="8"/>
      <c r="K70" s="8"/>
      <c r="L70" s="8"/>
      <c r="M70" s="8"/>
      <c r="N70" s="8"/>
      <c r="O70" s="8"/>
      <c r="P70" s="8"/>
      <c r="Q70" s="8"/>
      <c r="R70" s="28"/>
    </row>
    <row r="71" ht="15" customHeight="1" spans="1:18">
      <c r="A71" s="7"/>
      <c r="B71" s="91" t="s">
        <v>79</v>
      </c>
      <c r="C71" s="91" t="s">
        <v>53</v>
      </c>
      <c r="D71" s="92"/>
      <c r="E71" s="93"/>
      <c r="F71" s="94"/>
      <c r="G71" s="95"/>
      <c r="H71" s="8"/>
      <c r="I71" s="8"/>
      <c r="J71" s="8"/>
      <c r="K71" s="8"/>
      <c r="L71" s="8"/>
      <c r="M71" s="8"/>
      <c r="N71" s="8"/>
      <c r="O71" s="8"/>
      <c r="P71" s="8"/>
      <c r="Q71" s="8"/>
      <c r="R71" s="28"/>
    </row>
    <row r="72" ht="15" customHeight="1" spans="1:18">
      <c r="A72" s="7"/>
      <c r="B72" s="96" t="s">
        <v>80</v>
      </c>
      <c r="C72" s="96" t="s">
        <v>54</v>
      </c>
      <c r="D72" s="97"/>
      <c r="E72" s="98"/>
      <c r="F72" s="99"/>
      <c r="G72" s="100"/>
      <c r="H72" s="8"/>
      <c r="I72" s="8"/>
      <c r="J72" s="8"/>
      <c r="K72" s="8"/>
      <c r="L72" s="8"/>
      <c r="M72" s="8"/>
      <c r="N72" s="8"/>
      <c r="O72" s="8"/>
      <c r="P72" s="8"/>
      <c r="Q72" s="8"/>
      <c r="R72" s="28"/>
    </row>
    <row r="73" ht="15" customHeight="1" spans="1:18">
      <c r="A73" s="7"/>
      <c r="B73" s="96" t="s">
        <v>81</v>
      </c>
      <c r="C73" s="96" t="s">
        <v>55</v>
      </c>
      <c r="D73" s="97"/>
      <c r="E73" s="98"/>
      <c r="F73" s="99"/>
      <c r="G73" s="100"/>
      <c r="H73" s="8"/>
      <c r="I73" s="8"/>
      <c r="J73" s="8"/>
      <c r="K73" s="8"/>
      <c r="L73" s="8"/>
      <c r="M73" s="8"/>
      <c r="N73" s="8"/>
      <c r="O73" s="8"/>
      <c r="P73" s="8"/>
      <c r="Q73" s="8"/>
      <c r="R73" s="28"/>
    </row>
    <row r="74" ht="15" customHeight="1" spans="1:18">
      <c r="A74" s="7"/>
      <c r="B74" s="96" t="s">
        <v>82</v>
      </c>
      <c r="C74" s="96" t="s">
        <v>56</v>
      </c>
      <c r="D74" s="97"/>
      <c r="E74" s="98"/>
      <c r="F74" s="99"/>
      <c r="G74" s="100"/>
      <c r="H74" s="8"/>
      <c r="I74" s="8"/>
      <c r="J74" s="8"/>
      <c r="K74" s="8"/>
      <c r="L74" s="8"/>
      <c r="M74" s="8"/>
      <c r="N74" s="8"/>
      <c r="O74" s="8"/>
      <c r="P74" s="8"/>
      <c r="Q74" s="8"/>
      <c r="R74" s="28"/>
    </row>
    <row r="75" ht="15" customHeight="1" spans="1:18">
      <c r="A75" s="7"/>
      <c r="B75" s="96" t="s">
        <v>83</v>
      </c>
      <c r="C75" s="96" t="s">
        <v>57</v>
      </c>
      <c r="D75" s="97"/>
      <c r="E75" s="98"/>
      <c r="F75" s="99"/>
      <c r="G75" s="100"/>
      <c r="H75" s="8"/>
      <c r="I75" s="8"/>
      <c r="J75" s="8"/>
      <c r="K75" s="8"/>
      <c r="L75" s="8"/>
      <c r="M75" s="8"/>
      <c r="N75" s="8"/>
      <c r="O75" s="8"/>
      <c r="P75" s="8"/>
      <c r="Q75" s="8"/>
      <c r="R75" s="28"/>
    </row>
    <row r="76" ht="15" customHeight="1" spans="1:18">
      <c r="A76" s="7"/>
      <c r="B76" s="96" t="s">
        <v>84</v>
      </c>
      <c r="C76" s="96" t="s">
        <v>58</v>
      </c>
      <c r="D76" s="97"/>
      <c r="E76" s="98"/>
      <c r="F76" s="99"/>
      <c r="G76" s="100"/>
      <c r="H76" s="8"/>
      <c r="I76" s="8"/>
      <c r="J76" s="8"/>
      <c r="K76" s="8"/>
      <c r="L76" s="8"/>
      <c r="M76" s="8"/>
      <c r="N76" s="8"/>
      <c r="O76" s="8"/>
      <c r="P76" s="8"/>
      <c r="Q76" s="8"/>
      <c r="R76" s="28"/>
    </row>
    <row r="77" ht="15" customHeight="1" spans="1:18">
      <c r="A77" s="7"/>
      <c r="B77" s="96" t="s">
        <v>85</v>
      </c>
      <c r="C77" s="96" t="s">
        <v>59</v>
      </c>
      <c r="D77" s="97"/>
      <c r="E77" s="98"/>
      <c r="F77" s="99"/>
      <c r="G77" s="100"/>
      <c r="H77" s="8"/>
      <c r="I77" s="8"/>
      <c r="J77" s="8"/>
      <c r="K77" s="8"/>
      <c r="L77" s="8"/>
      <c r="M77" s="8"/>
      <c r="N77" s="8"/>
      <c r="O77" s="8"/>
      <c r="P77" s="8"/>
      <c r="Q77" s="8"/>
      <c r="R77" s="28"/>
    </row>
    <row r="78" ht="15" customHeight="1" spans="1:18">
      <c r="A78" s="7"/>
      <c r="B78" s="96" t="s">
        <v>86</v>
      </c>
      <c r="C78" s="96" t="s">
        <v>60</v>
      </c>
      <c r="D78" s="97"/>
      <c r="E78" s="98"/>
      <c r="F78" s="99"/>
      <c r="G78" s="100"/>
      <c r="H78" s="8"/>
      <c r="I78" s="8"/>
      <c r="J78" s="8"/>
      <c r="K78" s="8"/>
      <c r="L78" s="8"/>
      <c r="M78" s="8"/>
      <c r="N78" s="8"/>
      <c r="O78" s="8"/>
      <c r="P78" s="8"/>
      <c r="Q78" s="8"/>
      <c r="R78" s="28"/>
    </row>
    <row r="79" ht="15" customHeight="1" spans="1:18">
      <c r="A79" s="7"/>
      <c r="B79" s="96" t="s">
        <v>87</v>
      </c>
      <c r="C79" s="96" t="s">
        <v>61</v>
      </c>
      <c r="D79" s="97"/>
      <c r="E79" s="98"/>
      <c r="F79" s="99"/>
      <c r="G79" s="100"/>
      <c r="H79" s="8"/>
      <c r="I79" s="8"/>
      <c r="J79" s="8"/>
      <c r="K79" s="8"/>
      <c r="L79" s="8"/>
      <c r="M79" s="8"/>
      <c r="N79" s="8"/>
      <c r="O79" s="8"/>
      <c r="P79" s="8"/>
      <c r="Q79" s="8"/>
      <c r="R79" s="28"/>
    </row>
    <row r="80" ht="15" customHeight="1" spans="1:18">
      <c r="A80" s="7"/>
      <c r="B80" s="96" t="s">
        <v>88</v>
      </c>
      <c r="C80" s="96" t="s">
        <v>62</v>
      </c>
      <c r="D80" s="97"/>
      <c r="E80" s="98"/>
      <c r="F80" s="99"/>
      <c r="G80" s="100"/>
      <c r="H80" s="8"/>
      <c r="I80" s="8"/>
      <c r="J80" s="8"/>
      <c r="K80" s="8"/>
      <c r="L80" s="8"/>
      <c r="M80" s="8"/>
      <c r="N80" s="8"/>
      <c r="O80" s="8"/>
      <c r="P80" s="8"/>
      <c r="Q80" s="8"/>
      <c r="R80" s="28"/>
    </row>
    <row r="81" ht="15" customHeight="1" spans="1:18">
      <c r="A81" s="7"/>
      <c r="B81" s="96" t="s">
        <v>89</v>
      </c>
      <c r="C81" s="96" t="s">
        <v>63</v>
      </c>
      <c r="D81" s="97"/>
      <c r="E81" s="98"/>
      <c r="F81" s="99"/>
      <c r="G81" s="100"/>
      <c r="H81" s="8"/>
      <c r="I81" s="8"/>
      <c r="J81" s="8"/>
      <c r="K81" s="8"/>
      <c r="L81" s="8"/>
      <c r="M81" s="8"/>
      <c r="N81" s="8"/>
      <c r="O81" s="8"/>
      <c r="P81" s="8"/>
      <c r="Q81" s="8"/>
      <c r="R81" s="28"/>
    </row>
    <row r="82" ht="15" customHeight="1" spans="1:18">
      <c r="A82" s="7"/>
      <c r="B82" s="96" t="s">
        <v>90</v>
      </c>
      <c r="C82" s="96" t="s">
        <v>64</v>
      </c>
      <c r="D82" s="97"/>
      <c r="E82" s="98"/>
      <c r="F82" s="99"/>
      <c r="G82" s="100"/>
      <c r="H82" s="8"/>
      <c r="I82" s="8"/>
      <c r="J82" s="8"/>
      <c r="K82" s="8"/>
      <c r="L82" s="8"/>
      <c r="M82" s="8"/>
      <c r="N82" s="8"/>
      <c r="O82" s="8"/>
      <c r="P82" s="8"/>
      <c r="Q82" s="8"/>
      <c r="R82" s="28"/>
    </row>
    <row r="83" ht="15" customHeight="1" spans="1:18">
      <c r="A83" s="7"/>
      <c r="B83" s="96" t="s">
        <v>91</v>
      </c>
      <c r="C83" s="96" t="s">
        <v>65</v>
      </c>
      <c r="D83" s="97"/>
      <c r="E83" s="98"/>
      <c r="F83" s="99"/>
      <c r="G83" s="100"/>
      <c r="H83" s="8"/>
      <c r="I83" s="8"/>
      <c r="J83" s="8"/>
      <c r="K83" s="8"/>
      <c r="L83" s="8"/>
      <c r="M83" s="8"/>
      <c r="N83" s="8"/>
      <c r="O83" s="8"/>
      <c r="P83" s="8"/>
      <c r="Q83" s="8"/>
      <c r="R83" s="28"/>
    </row>
    <row r="84" ht="15" customHeight="1" spans="1:18">
      <c r="A84" s="7"/>
      <c r="B84" s="96" t="s">
        <v>92</v>
      </c>
      <c r="C84" s="96" t="s">
        <v>66</v>
      </c>
      <c r="D84" s="97"/>
      <c r="E84" s="98"/>
      <c r="F84" s="99"/>
      <c r="G84" s="100"/>
      <c r="H84" s="8"/>
      <c r="I84" s="8"/>
      <c r="J84" s="8"/>
      <c r="K84" s="8"/>
      <c r="L84" s="8"/>
      <c r="M84" s="8"/>
      <c r="N84" s="8"/>
      <c r="O84" s="8"/>
      <c r="P84" s="8"/>
      <c r="Q84" s="8"/>
      <c r="R84" s="28"/>
    </row>
    <row r="85" ht="15" customHeight="1" spans="1:18">
      <c r="A85" s="7"/>
      <c r="B85" s="101" t="s">
        <v>67</v>
      </c>
      <c r="C85" s="102"/>
      <c r="D85" s="103"/>
      <c r="E85" s="100"/>
      <c r="F85" s="104"/>
      <c r="G85" s="100"/>
      <c r="H85" s="8"/>
      <c r="I85" s="8"/>
      <c r="J85" s="8"/>
      <c r="K85" s="8"/>
      <c r="L85" s="8"/>
      <c r="M85" s="8"/>
      <c r="N85" s="8"/>
      <c r="O85" s="8"/>
      <c r="P85" s="8"/>
      <c r="Q85" s="8"/>
      <c r="R85" s="28"/>
    </row>
    <row r="86" ht="15" customHeight="1" spans="1:18">
      <c r="A86" s="7"/>
      <c r="B86" s="105" t="s">
        <v>70</v>
      </c>
      <c r="C86" s="22"/>
      <c r="D86" s="106"/>
      <c r="E86" s="23"/>
      <c r="F86" s="107"/>
      <c r="G86" s="23"/>
      <c r="H86" s="8"/>
      <c r="I86" s="8"/>
      <c r="J86" s="8"/>
      <c r="K86" s="8"/>
      <c r="L86" s="8"/>
      <c r="M86" s="8"/>
      <c r="N86" s="8"/>
      <c r="O86" s="8"/>
      <c r="P86" s="8"/>
      <c r="Q86" s="8"/>
      <c r="R86" s="28"/>
    </row>
    <row r="87" ht="15.75" customHeight="1" spans="1:18">
      <c r="A87" s="7"/>
      <c r="B87" s="8"/>
      <c r="C87" s="8"/>
      <c r="D87" s="108"/>
      <c r="E87" s="8"/>
      <c r="F87" s="10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28"/>
    </row>
    <row r="88" spans="1:1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28"/>
    </row>
    <row r="89" spans="1:18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28"/>
    </row>
    <row r="90" spans="1:18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28"/>
    </row>
    <row r="91" spans="1:18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28"/>
    </row>
    <row r="92" spans="1:18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28"/>
    </row>
    <row r="93" spans="1:18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28"/>
    </row>
    <row r="94" spans="1:18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28"/>
    </row>
    <row r="95" spans="1:18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28"/>
    </row>
    <row r="96" spans="1:18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28"/>
    </row>
    <row r="97" spans="1:18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28"/>
    </row>
    <row r="98" spans="1:18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28"/>
    </row>
    <row r="99" spans="1:18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28"/>
    </row>
    <row r="100" spans="1:18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28"/>
    </row>
    <row r="101" spans="1:18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28"/>
    </row>
    <row r="102" spans="1:18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28"/>
    </row>
    <row r="103" spans="1:18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28"/>
    </row>
    <row r="104" spans="1:18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28"/>
    </row>
    <row r="105" spans="1:18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28"/>
    </row>
    <row r="106" spans="1:18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28"/>
    </row>
    <row r="107" spans="1:18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28"/>
    </row>
    <row r="108" spans="1:18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28"/>
    </row>
    <row r="109" spans="1:18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28"/>
    </row>
    <row r="110" spans="1:18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28"/>
    </row>
    <row r="111" spans="1:18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28"/>
    </row>
    <row r="112" spans="1:18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28"/>
    </row>
    <row r="113" spans="1:18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28"/>
    </row>
    <row r="114" spans="1:18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28"/>
    </row>
    <row r="115" spans="1:18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28"/>
    </row>
    <row r="116" ht="13.25" spans="1:18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79"/>
    </row>
    <row r="117" ht="14" spans="1:18">
      <c r="A117" s="1"/>
      <c r="B117" s="2"/>
      <c r="C117" s="3"/>
      <c r="D117" s="4" t="s">
        <v>45</v>
      </c>
      <c r="E117" s="5"/>
      <c r="F117" s="5"/>
      <c r="G117" s="5"/>
      <c r="H117" s="5"/>
      <c r="I117" s="5"/>
      <c r="J117" s="5"/>
      <c r="K117" s="5"/>
      <c r="L117" s="6"/>
      <c r="M117" s="4" t="s">
        <v>1</v>
      </c>
      <c r="N117" s="5"/>
      <c r="O117" s="5"/>
      <c r="P117" s="5"/>
      <c r="Q117" s="5"/>
      <c r="R117" s="6"/>
    </row>
    <row r="118" ht="14" spans="1:18">
      <c r="A118" s="7"/>
      <c r="B118" s="8"/>
      <c r="C118" s="9"/>
      <c r="D118" s="10" t="s">
        <v>46</v>
      </c>
      <c r="E118" s="11"/>
      <c r="F118" s="11"/>
      <c r="G118" s="11"/>
      <c r="H118" s="11"/>
      <c r="I118" s="11"/>
      <c r="J118" s="11"/>
      <c r="K118" s="11"/>
      <c r="L118" s="12"/>
      <c r="M118" s="13"/>
      <c r="N118" s="13"/>
      <c r="O118" s="13"/>
      <c r="P118" s="13"/>
      <c r="Q118" s="13"/>
      <c r="R118" s="14"/>
    </row>
    <row r="119" ht="13" spans="1:18">
      <c r="A119" s="7"/>
      <c r="B119" s="8"/>
      <c r="C119" s="9"/>
      <c r="D119" s="15" t="s">
        <v>47</v>
      </c>
      <c r="E119" s="16"/>
      <c r="F119" s="16"/>
      <c r="G119" s="16"/>
      <c r="H119" s="16"/>
      <c r="I119" s="16"/>
      <c r="J119" s="16"/>
      <c r="K119" s="16"/>
      <c r="L119" s="17"/>
      <c r="M119" s="18" t="s">
        <v>103</v>
      </c>
      <c r="N119" s="19"/>
      <c r="O119" s="19"/>
      <c r="P119" s="19"/>
      <c r="Q119" s="19"/>
      <c r="R119" s="20"/>
    </row>
    <row r="120" ht="14" spans="1:18">
      <c r="A120" s="7"/>
      <c r="B120" s="8"/>
      <c r="C120" s="9"/>
      <c r="D120" s="15" t="s">
        <v>49</v>
      </c>
      <c r="E120" s="16"/>
      <c r="F120" s="16"/>
      <c r="G120" s="16"/>
      <c r="H120" s="16"/>
      <c r="I120" s="16"/>
      <c r="J120" s="16"/>
      <c r="K120" s="16"/>
      <c r="L120" s="17"/>
      <c r="M120" s="13"/>
      <c r="N120" s="13"/>
      <c r="O120" s="13"/>
      <c r="P120" s="13"/>
      <c r="Q120" s="13"/>
      <c r="R120" s="14"/>
    </row>
    <row r="121" ht="14.75" spans="1:18">
      <c r="A121" s="21"/>
      <c r="B121" s="22"/>
      <c r="C121" s="23"/>
      <c r="D121" s="24"/>
      <c r="E121" s="25"/>
      <c r="F121" s="25"/>
      <c r="G121" s="25"/>
      <c r="H121" s="25"/>
      <c r="I121" s="25"/>
      <c r="J121" s="25"/>
      <c r="K121" s="25"/>
      <c r="L121" s="26"/>
      <c r="M121" s="25"/>
      <c r="N121" s="25"/>
      <c r="O121" s="25"/>
      <c r="P121" s="25"/>
      <c r="Q121" s="25"/>
      <c r="R121" s="26"/>
    </row>
    <row r="122" ht="14" spans="1:18">
      <c r="A122" s="7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8"/>
      <c r="R122" s="28"/>
    </row>
    <row r="123" ht="14" spans="1:18">
      <c r="A123" s="7"/>
      <c r="B123" s="13" t="s">
        <v>93</v>
      </c>
      <c r="C123" s="13"/>
      <c r="D123" s="13"/>
      <c r="E123" s="13"/>
      <c r="F123" s="13"/>
      <c r="G123" s="13"/>
      <c r="H123" s="13"/>
      <c r="I123" s="13"/>
      <c r="J123" s="30"/>
      <c r="K123" s="30"/>
      <c r="L123" s="30"/>
      <c r="M123" s="30"/>
      <c r="N123" s="30"/>
      <c r="O123" s="30"/>
      <c r="P123" s="30"/>
      <c r="Q123" s="8"/>
      <c r="R123" s="28"/>
    </row>
    <row r="124" ht="14" spans="1:18">
      <c r="A124" s="7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8"/>
      <c r="R124" s="28"/>
    </row>
    <row r="125" ht="14" spans="1:18">
      <c r="A125" s="7"/>
      <c r="B125" s="13" t="s">
        <v>94</v>
      </c>
      <c r="C125" s="13"/>
      <c r="D125" s="13"/>
      <c r="E125" s="13"/>
      <c r="F125" s="13"/>
      <c r="G125" s="13"/>
      <c r="H125" s="30"/>
      <c r="I125" s="30"/>
      <c r="J125" s="30"/>
      <c r="K125" s="30"/>
      <c r="L125" s="30"/>
      <c r="M125" s="30"/>
      <c r="N125" s="30"/>
      <c r="O125" s="30"/>
      <c r="P125" s="30"/>
      <c r="Q125" s="8"/>
      <c r="R125" s="28"/>
    </row>
    <row r="126" ht="14" spans="1:18">
      <c r="A126" s="7"/>
      <c r="B126" s="13"/>
      <c r="C126" s="13"/>
      <c r="D126" s="13"/>
      <c r="E126" s="13"/>
      <c r="F126" s="13"/>
      <c r="G126" s="13"/>
      <c r="H126" s="30"/>
      <c r="I126" s="30"/>
      <c r="J126" s="30"/>
      <c r="K126" s="30"/>
      <c r="L126" s="30"/>
      <c r="M126" s="30"/>
      <c r="N126" s="30"/>
      <c r="O126" s="30"/>
      <c r="P126" s="30"/>
      <c r="Q126" s="8"/>
      <c r="R126" s="28"/>
    </row>
    <row r="127" ht="14" spans="1:18">
      <c r="A127" s="7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8"/>
      <c r="R127" s="28"/>
    </row>
    <row r="128" ht="14" spans="1:18">
      <c r="A128" s="7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8"/>
      <c r="R128" s="28"/>
    </row>
    <row r="129" ht="14" spans="1:18">
      <c r="A129" s="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8"/>
      <c r="R129" s="28"/>
    </row>
    <row r="130" ht="14" spans="1:18">
      <c r="A130" s="7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8"/>
      <c r="R130" s="28"/>
    </row>
    <row r="131" ht="14" spans="1:18">
      <c r="A131" s="7"/>
      <c r="B131" s="13" t="s">
        <v>95</v>
      </c>
      <c r="C131" s="13"/>
      <c r="D131" s="13"/>
      <c r="E131" s="13"/>
      <c r="F131" s="13"/>
      <c r="G131" s="13"/>
      <c r="H131" s="13"/>
      <c r="I131" s="30"/>
      <c r="J131" s="30"/>
      <c r="K131" s="30"/>
      <c r="L131" s="30"/>
      <c r="M131" s="30"/>
      <c r="N131" s="30"/>
      <c r="O131" s="30"/>
      <c r="P131" s="30"/>
      <c r="Q131" s="8"/>
      <c r="R131" s="28"/>
    </row>
    <row r="132" ht="14" spans="1:18">
      <c r="A132" s="7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8"/>
      <c r="R132" s="28"/>
    </row>
    <row r="133" ht="14" spans="1:18">
      <c r="A133" s="7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8"/>
      <c r="R133" s="28"/>
    </row>
    <row r="134" ht="14" spans="1:18">
      <c r="A134" s="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8"/>
      <c r="R134" s="28"/>
    </row>
    <row r="135" ht="14" spans="1:18">
      <c r="A135" s="7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8"/>
      <c r="R135" s="28"/>
    </row>
    <row r="136" ht="14" spans="1:18">
      <c r="A136" s="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8"/>
      <c r="R136" s="28"/>
    </row>
    <row r="137" ht="14" spans="1:18">
      <c r="A137" s="7"/>
      <c r="B137" s="13" t="s">
        <v>96</v>
      </c>
      <c r="C137" s="13"/>
      <c r="D137" s="13"/>
      <c r="E137" s="13"/>
      <c r="F137" s="13"/>
      <c r="G137" s="13"/>
      <c r="H137" s="8"/>
      <c r="I137" s="30"/>
      <c r="J137" s="30"/>
      <c r="K137" s="30"/>
      <c r="L137" s="30"/>
      <c r="M137" s="30"/>
      <c r="N137" s="30"/>
      <c r="O137" s="30"/>
      <c r="P137" s="30"/>
      <c r="Q137" s="8"/>
      <c r="R137" s="28"/>
    </row>
    <row r="138" ht="14" spans="1:18">
      <c r="A138" s="7"/>
      <c r="B138" s="8"/>
      <c r="C138" s="8"/>
      <c r="D138" s="8"/>
      <c r="E138" s="8"/>
      <c r="F138" s="8"/>
      <c r="G138" s="8"/>
      <c r="H138" s="8"/>
      <c r="I138" s="30"/>
      <c r="J138" s="30"/>
      <c r="K138" s="30"/>
      <c r="L138" s="30"/>
      <c r="M138" s="30"/>
      <c r="N138" s="30"/>
      <c r="O138" s="30"/>
      <c r="P138" s="30"/>
      <c r="Q138" s="8"/>
      <c r="R138" s="28"/>
    </row>
    <row r="139" ht="14" spans="1:18">
      <c r="A139" s="7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8"/>
      <c r="R139" s="28"/>
    </row>
    <row r="140" ht="14" spans="1:18">
      <c r="A140" s="7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8"/>
      <c r="R140" s="28"/>
    </row>
    <row r="141" ht="14" spans="1:18">
      <c r="A141" s="7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8"/>
      <c r="R141" s="28"/>
    </row>
    <row r="142" ht="14" spans="1:18">
      <c r="A142" s="7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8"/>
      <c r="R142" s="28"/>
    </row>
    <row r="143" ht="14" spans="1:18">
      <c r="A143" s="7"/>
      <c r="B143" s="13" t="s">
        <v>97</v>
      </c>
      <c r="C143" s="13"/>
      <c r="D143" s="13"/>
      <c r="E143" s="13"/>
      <c r="F143" s="13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8"/>
      <c r="R143" s="28"/>
    </row>
    <row r="144" ht="14" spans="1:18">
      <c r="A144" s="7"/>
      <c r="B144" s="8"/>
      <c r="C144" s="8"/>
      <c r="D144" s="8"/>
      <c r="E144" s="8"/>
      <c r="F144" s="8"/>
      <c r="G144" s="8"/>
      <c r="H144" s="13"/>
      <c r="I144" s="30"/>
      <c r="J144" s="30"/>
      <c r="K144" s="30"/>
      <c r="L144" s="30"/>
      <c r="M144" s="30"/>
      <c r="N144" s="30"/>
      <c r="O144" s="30"/>
      <c r="P144" s="30"/>
      <c r="Q144" s="8"/>
      <c r="R144" s="28"/>
    </row>
    <row r="145" ht="14" spans="1:18">
      <c r="A145" s="7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8"/>
      <c r="R145" s="28"/>
    </row>
    <row r="146" ht="14" spans="1:18">
      <c r="A146" s="7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8"/>
      <c r="R146" s="28"/>
    </row>
    <row r="147" ht="14" spans="1:18">
      <c r="A147" s="7"/>
      <c r="B147" s="109"/>
      <c r="C147" s="8"/>
      <c r="D147" s="8"/>
      <c r="E147" s="8"/>
      <c r="F147" s="8"/>
      <c r="G147" s="8"/>
      <c r="H147" s="8"/>
      <c r="I147" s="30"/>
      <c r="J147" s="30"/>
      <c r="K147" s="30"/>
      <c r="L147" s="30"/>
      <c r="M147" s="30"/>
      <c r="N147" s="30"/>
      <c r="O147" s="30"/>
      <c r="P147" s="30"/>
      <c r="Q147" s="8"/>
      <c r="R147" s="28"/>
    </row>
    <row r="148" ht="14" spans="1:18">
      <c r="A148" s="7"/>
      <c r="B148" s="109"/>
      <c r="C148" s="8"/>
      <c r="D148" s="8"/>
      <c r="E148" s="8"/>
      <c r="F148" s="8"/>
      <c r="G148" s="8"/>
      <c r="H148" s="8"/>
      <c r="I148" s="30"/>
      <c r="J148" s="30"/>
      <c r="K148" s="30"/>
      <c r="L148" s="30"/>
      <c r="M148" s="30"/>
      <c r="N148" s="30"/>
      <c r="O148" s="30"/>
      <c r="P148" s="30"/>
      <c r="Q148" s="8"/>
      <c r="R148" s="28"/>
    </row>
    <row r="149" ht="14" spans="1:18">
      <c r="A149" s="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8"/>
      <c r="R149" s="28"/>
    </row>
    <row r="150" ht="14" spans="1:18">
      <c r="A150" s="7"/>
      <c r="B150" s="8"/>
      <c r="C150" s="8"/>
      <c r="D150" s="8"/>
      <c r="E150" s="8"/>
      <c r="F150" s="8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8"/>
      <c r="R150" s="28"/>
    </row>
    <row r="151" ht="14" spans="1:18">
      <c r="A151" s="7"/>
      <c r="B151" s="30"/>
      <c r="C151" s="30"/>
      <c r="D151" s="30"/>
      <c r="E151" s="30"/>
      <c r="F151" s="30"/>
      <c r="G151" s="30"/>
      <c r="H151" s="30"/>
      <c r="I151" s="30"/>
      <c r="J151" s="30"/>
      <c r="K151" s="110" t="s">
        <v>98</v>
      </c>
      <c r="L151" s="110"/>
      <c r="M151" s="110"/>
      <c r="N151" s="110"/>
      <c r="O151" s="110"/>
      <c r="P151" s="30"/>
      <c r="Q151" s="8"/>
      <c r="R151" s="28"/>
    </row>
    <row r="152" ht="14" spans="1:18">
      <c r="A152" s="7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8"/>
      <c r="R152" s="28"/>
    </row>
    <row r="153" ht="14" spans="1:18">
      <c r="A153" s="7"/>
      <c r="B153" s="111" t="s">
        <v>27</v>
      </c>
      <c r="C153" s="111"/>
      <c r="D153" s="111"/>
      <c r="E153" s="111"/>
      <c r="F153" s="30"/>
      <c r="G153" s="30"/>
      <c r="H153" s="30"/>
      <c r="I153" s="30"/>
      <c r="J153" s="30"/>
      <c r="K153" s="111" t="s">
        <v>28</v>
      </c>
      <c r="L153" s="111"/>
      <c r="M153" s="111"/>
      <c r="N153" s="111"/>
      <c r="O153" s="111"/>
      <c r="P153" s="30"/>
      <c r="Q153" s="8"/>
      <c r="R153" s="28"/>
    </row>
    <row r="154" ht="14" spans="1:18">
      <c r="A154" s="7"/>
      <c r="B154" s="111" t="s">
        <v>99</v>
      </c>
      <c r="C154" s="111"/>
      <c r="D154" s="111"/>
      <c r="E154" s="111"/>
      <c r="F154" s="30"/>
      <c r="G154" s="30"/>
      <c r="H154" s="30"/>
      <c r="I154" s="30"/>
      <c r="J154" s="30"/>
      <c r="K154" s="111" t="s">
        <v>100</v>
      </c>
      <c r="L154" s="111"/>
      <c r="M154" s="111"/>
      <c r="N154" s="111"/>
      <c r="O154" s="111"/>
      <c r="P154" s="30"/>
      <c r="Q154" s="8"/>
      <c r="R154" s="28"/>
    </row>
    <row r="155" ht="14" spans="1:18">
      <c r="A155" s="7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8"/>
      <c r="R155" s="28"/>
    </row>
    <row r="156" ht="14" spans="1:18">
      <c r="A156" s="7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8"/>
      <c r="R156" s="28"/>
    </row>
    <row r="157" ht="14" spans="1:18">
      <c r="A157" s="7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8"/>
      <c r="R157" s="28"/>
    </row>
    <row r="158" ht="14" spans="1:18">
      <c r="A158" s="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8"/>
      <c r="R158" s="28"/>
    </row>
    <row r="159" ht="14" spans="1:18">
      <c r="A159" s="7"/>
      <c r="B159" s="11" t="s">
        <v>101</v>
      </c>
      <c r="C159" s="11"/>
      <c r="D159" s="11"/>
      <c r="E159" s="11"/>
      <c r="F159" s="30"/>
      <c r="G159" s="30"/>
      <c r="H159" s="30"/>
      <c r="I159" s="30"/>
      <c r="J159" s="30"/>
      <c r="K159" s="82" t="s">
        <v>102</v>
      </c>
      <c r="L159" s="82"/>
      <c r="M159" s="82"/>
      <c r="N159" s="82"/>
      <c r="O159" s="82"/>
      <c r="P159" s="30"/>
      <c r="Q159" s="8"/>
      <c r="R159" s="28"/>
    </row>
    <row r="160" ht="14" spans="1:18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30"/>
      <c r="Q160" s="8"/>
      <c r="R160" s="28"/>
    </row>
    <row r="161" ht="14" spans="1:18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30"/>
      <c r="Q161" s="8"/>
      <c r="R161" s="28"/>
    </row>
    <row r="162" ht="14" spans="1:18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30"/>
      <c r="Q162" s="8"/>
      <c r="R162" s="28"/>
    </row>
    <row r="163" ht="14" spans="1:18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30"/>
      <c r="Q163" s="8"/>
      <c r="R163" s="28"/>
    </row>
    <row r="164" ht="14" spans="1:18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30"/>
      <c r="Q164" s="8"/>
      <c r="R164" s="28"/>
    </row>
    <row r="165" ht="14" spans="1:18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30"/>
      <c r="Q165" s="8"/>
      <c r="R165" s="28"/>
    </row>
    <row r="166" ht="14" spans="1:18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30"/>
      <c r="Q166" s="8"/>
      <c r="R166" s="28"/>
    </row>
    <row r="167" ht="14" spans="1:18">
      <c r="A167" s="7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8"/>
      <c r="O167" s="8"/>
      <c r="P167" s="8"/>
      <c r="Q167" s="8"/>
      <c r="R167" s="28"/>
    </row>
    <row r="168" ht="14" spans="1:18">
      <c r="A168" s="7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8"/>
      <c r="O168" s="8"/>
      <c r="P168" s="8"/>
      <c r="Q168" s="8"/>
      <c r="R168" s="28"/>
    </row>
    <row r="169" ht="14" spans="1:18">
      <c r="A169" s="7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8"/>
      <c r="O169" s="8"/>
      <c r="P169" s="8"/>
      <c r="Q169" s="8"/>
      <c r="R169" s="28"/>
    </row>
    <row r="170" ht="14.75" spans="1:18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5"/>
      <c r="O170" s="25"/>
      <c r="P170" s="25"/>
      <c r="Q170" s="22"/>
      <c r="R170" s="79"/>
    </row>
  </sheetData>
  <mergeCells count="31">
    <mergeCell ref="D1:L1"/>
    <mergeCell ref="M1:R1"/>
    <mergeCell ref="D2:L2"/>
    <mergeCell ref="D3:L3"/>
    <mergeCell ref="M3:R3"/>
    <mergeCell ref="D4:L4"/>
    <mergeCell ref="B9:Q9"/>
    <mergeCell ref="D60:L60"/>
    <mergeCell ref="M60:R60"/>
    <mergeCell ref="D61:L61"/>
    <mergeCell ref="D62:L62"/>
    <mergeCell ref="M62:R62"/>
    <mergeCell ref="D63:L63"/>
    <mergeCell ref="D69:E69"/>
    <mergeCell ref="F69:G69"/>
    <mergeCell ref="D70:E70"/>
    <mergeCell ref="F70:G70"/>
    <mergeCell ref="D117:L117"/>
    <mergeCell ref="M117:R117"/>
    <mergeCell ref="D118:L118"/>
    <mergeCell ref="D119:L119"/>
    <mergeCell ref="M119:R119"/>
    <mergeCell ref="D120:L120"/>
    <mergeCell ref="K151:O151"/>
    <mergeCell ref="B153:E153"/>
    <mergeCell ref="K153:O153"/>
    <mergeCell ref="B154:E154"/>
    <mergeCell ref="K154:O154"/>
    <mergeCell ref="B159:E159"/>
    <mergeCell ref="B69:B70"/>
    <mergeCell ref="C69:C70"/>
  </mergeCells>
  <pageMargins left="0" right="0" top="0.75" bottom="0.75" header="0.3" footer="0.3"/>
  <pageSetup paperSize="9" scale="95" orientation="portrait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master rev 0</vt:lpstr>
      <vt:lpstr>contoh pengisian</vt:lpstr>
      <vt:lpstr>master</vt:lpstr>
      <vt:lpstr>master rev 1</vt:lpstr>
      <vt:lpstr>master rev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HYPE R Series</cp:lastModifiedBy>
  <dcterms:created xsi:type="dcterms:W3CDTF">2026-07-29T01:41:10Z</dcterms:created>
  <cp:lastPrinted>2020-12-23T07:56:32Z</cp:lastPrinted>
  <dcterms:modified xsi:type="dcterms:W3CDTF">2026-07-29T02:29:53Z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C8031123F73148568AF0626CF6716CAD_13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